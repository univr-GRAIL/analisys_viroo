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GitHub\analisys_viroo\data\"/>
    </mc:Choice>
  </mc:AlternateContent>
  <xr:revisionPtr revIDLastSave="0" documentId="13_ncr:1_{68C7A84E-5905-49F2-BFE8-D9300998FF70}" xr6:coauthVersionLast="47" xr6:coauthVersionMax="47" xr10:uidLastSave="{00000000-0000-0000-0000-000000000000}"/>
  <bookViews>
    <workbookView xWindow="338" yWindow="338" windowWidth="17444" windowHeight="10845" activeTab="3" xr2:uid="{F8AF8778-B65D-4107-B039-CC9C8A4BCFCB}"/>
  </bookViews>
  <sheets>
    <sheet name="ICETeach_VirooEC2" sheetId="1" r:id="rId1"/>
    <sheet name="Trainees" sheetId="2" r:id="rId2"/>
    <sheet name="Teachers" sheetId="3" r:id="rId3"/>
    <sheet name="tabell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B5" i="3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C7" i="2"/>
  <c r="AA5" i="2"/>
  <c r="AA4" i="2"/>
  <c r="AA3" i="2"/>
  <c r="AA2" i="2"/>
  <c r="AA7" i="2" l="1"/>
</calcChain>
</file>

<file path=xl/sharedStrings.xml><?xml version="1.0" encoding="utf-8"?>
<sst xmlns="http://schemas.openxmlformats.org/spreadsheetml/2006/main" count="115" uniqueCount="65">
  <si>
    <t>Question/score</t>
  </si>
  <si>
    <t>values range</t>
  </si>
  <si>
    <t>average</t>
  </si>
  <si>
    <t xml:space="preserve">MASTER XR improved my familiarization with industrial robots handling/programming. </t>
  </si>
  <si>
    <t xml:space="preserve">MASTER XR improved my familiarization with Mixed reality technology and application. </t>
  </si>
  <si>
    <t xml:space="preserve">It is easy to understand the language used in MASTER XR Educational Scene </t>
  </si>
  <si>
    <t xml:space="preserve">It is easy to understand and follow the training procedure in MASTER XR Educational Scene. </t>
  </si>
  <si>
    <t xml:space="preserve">Overall MASTER XR Educational Scene graphics </t>
  </si>
  <si>
    <t xml:space="preserve">Overall MASTER XR Educational Scene interactions </t>
  </si>
  <si>
    <t xml:space="preserve">Navigation-locomotion comfort in MASTER XR Educational Scene </t>
  </si>
  <si>
    <t xml:space="preserve">I feel safe using MASTER XR Educational Scene for robotics training purposes. </t>
  </si>
  <si>
    <t xml:space="preserve">I feel safe using traditional ways for robotics training. </t>
  </si>
  <si>
    <t xml:space="preserve">It is easy to use MASTER XR Educational Scene. </t>
  </si>
  <si>
    <t>It is easy to use traditional ways for robotics training.</t>
  </si>
  <si>
    <t>Do you think you have achieved the learning objectives of the scenes?</t>
  </si>
  <si>
    <t xml:space="preserve">How likely are you to recommend MASTER XR Educational Scene to a friend or colleague? </t>
  </si>
  <si>
    <t>Do you think you have achieved the learning objectives of the scenes? (0-10)</t>
  </si>
  <si>
    <t>Unweighted NASA-TLX score</t>
  </si>
  <si>
    <t>0-100</t>
  </si>
  <si>
    <t xml:space="preserve">What did you like most about the MASTER XR Educational Scene?  </t>
  </si>
  <si>
    <t>Does the language used in MASTER XR Educational Scene take into consideration gender, education, and cultural diversities?  (Type 'Yes' or Specify the points that you think there is an issue)</t>
  </si>
  <si>
    <t xml:space="preserve">MASTER XR improved my familiarization with an industrial environment.  </t>
  </si>
  <si>
    <t xml:space="preserve">It is easy to understand the language used in MASTER XR Educational Scene (included in information/instruction panels). </t>
  </si>
  <si>
    <t xml:space="preserve">Overall MASTER XR Educational Scene graphics (Consider how easy is to identify the various objects and how realistic they are.) </t>
  </si>
  <si>
    <t xml:space="preserve">Overall MASTER XR Educational Scene interactions (Consider how easy is to handle objects, select a choice, etc.) </t>
  </si>
  <si>
    <t xml:space="preserve">Navigation-locomotion comfort in MASTER XR Educational Scene (Consider how easy it is to move into the environment.) </t>
  </si>
  <si>
    <t>Participant ID:</t>
  </si>
  <si>
    <t>How familiar you are with Mixed Reality technology and applications?</t>
  </si>
  <si>
    <t xml:space="preserve">How mentally demanding was the task? (Consider activities like thinking, deciding, calculating, remembering, looking, searching, etc)  </t>
  </si>
  <si>
    <t xml:space="preserve">How physically demanding was the task? (Consider activities like pushing, pulling, turning, lifting, etc) </t>
  </si>
  <si>
    <t xml:space="preserve">How hurried or rushed was the pace of the task? (Consider the time pressure you felt.) </t>
  </si>
  <si>
    <t xml:space="preserve">How successful were you in accomplishing what you were asked to do? (Consider how satisfied you are with your performance.) </t>
  </si>
  <si>
    <t xml:space="preserve">How hard did you have to work to accomplish your level of performance? (Consider how hard in terms of mental or physical effort.) </t>
  </si>
  <si>
    <t xml:space="preserve">How insecure, discouraged, irritated, stressed, and annoyed were you? (Consider how frustrated you may felt.)  </t>
  </si>
  <si>
    <t xml:space="preserve">Is there anything else you would like to share about your experience with MASTER XR?  </t>
  </si>
  <si>
    <t xml:space="preserve">What is the equipment used for the experiment? (indicate the model for each one)   </t>
  </si>
  <si>
    <t xml:space="preserve">Which is the primary interaction method used?  </t>
  </si>
  <si>
    <t xml:space="preserve">How would you rate the frame rate of the application?  </t>
  </si>
  <si>
    <t xml:space="preserve">What would be more similar to the system specifications running the MASTER XR Educational Scene?   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</si>
  <si>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</si>
  <si>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</si>
  <si>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</si>
  <si>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</si>
  <si>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</si>
  <si>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</si>
  <si>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</si>
  <si>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</si>
  <si>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</si>
  <si>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</si>
  <si>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How familiar you are with Industrial environment and processes</t>
  </si>
  <si>
    <t>How familiar you are with Industrial Robotics</t>
  </si>
  <si>
    <t>T1</t>
  </si>
  <si>
    <t>T2</t>
  </si>
  <si>
    <t>Was MASTER XR ES useful to cover LO?</t>
  </si>
  <si>
    <t>Yes</t>
  </si>
  <si>
    <t>SUS score</t>
  </si>
  <si>
    <t>Like most</t>
  </si>
  <si>
    <t>Easy to understand</t>
  </si>
  <si>
    <t>NASA-TLX</t>
  </si>
  <si>
    <t>yes</t>
  </si>
  <si>
    <t>maybe</t>
  </si>
  <si>
    <t>1-5</t>
  </si>
  <si>
    <t>1-10</t>
  </si>
  <si>
    <t>T3</t>
  </si>
  <si>
    <t xml:space="preserve">It is easy to understand the language used in MASTER XR Educational Scene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</si>
</sst>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9" fontId="0" fillId="0" borderId="11" xfId="0" applyNumberFormat="1" applyBorder="1" applyAlignment="1">
      <alignment horizontal="center"/>
    </xf>
    <xf numFmtId="0" fontId="16" fillId="0" borderId="11" xfId="0" applyFont="1" applyBorder="1"/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49" fontId="0" fillId="0" borderId="16" xfId="0" applyNumberFormat="1" applyBorder="1" applyAlignment="1">
      <alignment horizontal="center"/>
    </xf>
    <xf numFmtId="0" fontId="16" fillId="0" borderId="16" xfId="0" applyFont="1" applyBorder="1"/>
    <xf numFmtId="49" fontId="0" fillId="0" borderId="15" xfId="0" applyNumberFormat="1" applyBorder="1" applyAlignment="1">
      <alignment horizontal="center"/>
    </xf>
    <xf numFmtId="0" fontId="16" fillId="0" borderId="15" xfId="0" applyFont="1" applyBorder="1"/>
    <xf numFmtId="0" fontId="0" fillId="0" borderId="22" xfId="0" applyBorder="1" applyAlignment="1">
      <alignment horizontal="center"/>
    </xf>
    <xf numFmtId="0" fontId="16" fillId="0" borderId="22" xfId="0" applyFont="1" applyBorder="1"/>
    <xf numFmtId="0" fontId="16" fillId="33" borderId="15" xfId="0" applyFont="1" applyFill="1" applyBorder="1" applyAlignment="1">
      <alignment horizontal="center"/>
    </xf>
    <xf numFmtId="2" fontId="0" fillId="0" borderId="0" xfId="0" applyNumberFormat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6" fillId="33" borderId="17" xfId="0" applyFont="1" applyFill="1" applyBorder="1" applyAlignment="1">
      <alignment horizontal="center"/>
    </xf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1" xfId="0" applyBorder="1" applyAlignment="1">
      <alignment horizontal="left"/>
    </xf>
    <xf numFmtId="0" fontId="16" fillId="0" borderId="11" xfId="0" applyFont="1" applyBorder="1" applyAlignment="1">
      <alignment horizontal="center"/>
    </xf>
    <xf numFmtId="0" fontId="16" fillId="34" borderId="11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/>
    </xf>
    <xf numFmtId="0" fontId="0" fillId="0" borderId="11" xfId="0" applyBorder="1"/>
    <xf numFmtId="0" fontId="16" fillId="0" borderId="11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36BE-F089-46B0-9742-4B52200EC327}">
  <dimension ref="A1:J17"/>
  <sheetViews>
    <sheetView workbookViewId="0">
      <selection sqref="A1:J1"/>
    </sheetView>
  </sheetViews>
  <sheetFormatPr defaultRowHeight="14.25" x14ac:dyDescent="0.45"/>
  <cols>
    <col min="9" max="9" width="12.6640625" customWidth="1"/>
  </cols>
  <sheetData>
    <row r="1" spans="1:10" ht="14.65" thickBot="1" x14ac:dyDescent="0.5">
      <c r="A1" s="16" t="s">
        <v>0</v>
      </c>
      <c r="B1" s="17"/>
      <c r="C1" s="17"/>
      <c r="D1" s="17"/>
      <c r="E1" s="17"/>
      <c r="F1" s="17"/>
      <c r="G1" s="17"/>
      <c r="H1" s="18"/>
      <c r="I1" s="11" t="s">
        <v>1</v>
      </c>
      <c r="J1" s="11" t="s">
        <v>2</v>
      </c>
    </row>
    <row r="2" spans="1:10" ht="14.65" thickTop="1" x14ac:dyDescent="0.45">
      <c r="A2" s="4" t="s">
        <v>3</v>
      </c>
      <c r="B2" s="4"/>
      <c r="C2" s="4"/>
      <c r="D2" s="4"/>
      <c r="E2" s="4"/>
      <c r="F2" s="4"/>
      <c r="G2" s="4"/>
      <c r="H2" s="4"/>
      <c r="I2" s="5" t="s">
        <v>61</v>
      </c>
      <c r="J2" s="6">
        <v>3.75</v>
      </c>
    </row>
    <row r="3" spans="1:10" x14ac:dyDescent="0.45">
      <c r="A3" s="3" t="s">
        <v>4</v>
      </c>
      <c r="B3" s="3"/>
      <c r="C3" s="3"/>
      <c r="D3" s="3"/>
      <c r="E3" s="3"/>
      <c r="F3" s="3"/>
      <c r="G3" s="3"/>
      <c r="H3" s="3"/>
      <c r="I3" s="1" t="s">
        <v>61</v>
      </c>
      <c r="J3" s="2">
        <v>4</v>
      </c>
    </row>
    <row r="4" spans="1:10" x14ac:dyDescent="0.45">
      <c r="A4" s="13" t="s">
        <v>5</v>
      </c>
      <c r="B4" s="14"/>
      <c r="C4" s="14"/>
      <c r="D4" s="14"/>
      <c r="E4" s="14"/>
      <c r="F4" s="14"/>
      <c r="G4" s="14"/>
      <c r="H4" s="15"/>
      <c r="I4" s="1" t="s">
        <v>61</v>
      </c>
      <c r="J4" s="2">
        <v>4</v>
      </c>
    </row>
    <row r="5" spans="1:10" x14ac:dyDescent="0.45">
      <c r="A5" s="13" t="s">
        <v>6</v>
      </c>
      <c r="B5" s="14"/>
      <c r="C5" s="14"/>
      <c r="D5" s="14"/>
      <c r="E5" s="14"/>
      <c r="F5" s="14"/>
      <c r="G5" s="14"/>
      <c r="H5" s="15"/>
      <c r="I5" s="1" t="s">
        <v>61</v>
      </c>
      <c r="J5" s="2">
        <v>4</v>
      </c>
    </row>
    <row r="6" spans="1:10" x14ac:dyDescent="0.45">
      <c r="A6" s="13" t="s">
        <v>7</v>
      </c>
      <c r="B6" s="14"/>
      <c r="C6" s="14"/>
      <c r="D6" s="14"/>
      <c r="E6" s="14"/>
      <c r="F6" s="14"/>
      <c r="G6" s="14"/>
      <c r="H6" s="15"/>
      <c r="I6" s="1" t="s">
        <v>61</v>
      </c>
      <c r="J6" s="2">
        <v>4</v>
      </c>
    </row>
    <row r="7" spans="1:10" x14ac:dyDescent="0.45">
      <c r="A7" s="13" t="s">
        <v>8</v>
      </c>
      <c r="B7" s="14"/>
      <c r="C7" s="14"/>
      <c r="D7" s="14"/>
      <c r="E7" s="14"/>
      <c r="F7" s="14"/>
      <c r="G7" s="14"/>
      <c r="H7" s="15"/>
      <c r="I7" s="1" t="s">
        <v>61</v>
      </c>
      <c r="J7" s="2">
        <v>4.5</v>
      </c>
    </row>
    <row r="8" spans="1:10" x14ac:dyDescent="0.45">
      <c r="A8" s="13" t="s">
        <v>9</v>
      </c>
      <c r="B8" s="14"/>
      <c r="C8" s="14"/>
      <c r="D8" s="14"/>
      <c r="E8" s="14"/>
      <c r="F8" s="14"/>
      <c r="G8" s="14"/>
      <c r="H8" s="15"/>
      <c r="I8" s="1" t="s">
        <v>61</v>
      </c>
      <c r="J8" s="2">
        <v>4.25</v>
      </c>
    </row>
    <row r="9" spans="1:10" x14ac:dyDescent="0.45">
      <c r="A9" s="13" t="s">
        <v>10</v>
      </c>
      <c r="B9" s="14"/>
      <c r="C9" s="14"/>
      <c r="D9" s="14"/>
      <c r="E9" s="14"/>
      <c r="F9" s="14"/>
      <c r="G9" s="14"/>
      <c r="H9" s="15"/>
      <c r="I9" s="1" t="s">
        <v>61</v>
      </c>
      <c r="J9" s="2">
        <v>4.5</v>
      </c>
    </row>
    <row r="10" spans="1:10" x14ac:dyDescent="0.45">
      <c r="A10" s="13" t="s">
        <v>11</v>
      </c>
      <c r="B10" s="14"/>
      <c r="C10" s="14"/>
      <c r="D10" s="14"/>
      <c r="E10" s="14"/>
      <c r="F10" s="14"/>
      <c r="G10" s="14"/>
      <c r="H10" s="15"/>
      <c r="I10" s="1" t="s">
        <v>61</v>
      </c>
      <c r="J10" s="2">
        <v>5</v>
      </c>
    </row>
    <row r="11" spans="1:10" x14ac:dyDescent="0.45">
      <c r="A11" s="13" t="s">
        <v>12</v>
      </c>
      <c r="B11" s="14"/>
      <c r="C11" s="14"/>
      <c r="D11" s="14"/>
      <c r="E11" s="14"/>
      <c r="F11" s="14"/>
      <c r="G11" s="14"/>
      <c r="H11" s="15"/>
      <c r="I11" s="1" t="s">
        <v>61</v>
      </c>
      <c r="J11" s="2">
        <v>4.75</v>
      </c>
    </row>
    <row r="12" spans="1:10" x14ac:dyDescent="0.45">
      <c r="A12" s="13" t="s">
        <v>13</v>
      </c>
      <c r="B12" s="14"/>
      <c r="C12" s="14"/>
      <c r="D12" s="14"/>
      <c r="E12" s="14"/>
      <c r="F12" s="14"/>
      <c r="G12" s="14"/>
      <c r="H12" s="15"/>
      <c r="I12" s="1" t="s">
        <v>61</v>
      </c>
      <c r="J12" s="2">
        <v>4.5</v>
      </c>
    </row>
    <row r="13" spans="1:10" ht="14.65" thickBot="1" x14ac:dyDescent="0.5">
      <c r="A13" s="22" t="s">
        <v>14</v>
      </c>
      <c r="B13" s="23"/>
      <c r="C13" s="23"/>
      <c r="D13" s="23"/>
      <c r="E13" s="23"/>
      <c r="F13" s="23"/>
      <c r="G13" s="23"/>
      <c r="H13" s="24"/>
      <c r="I13" s="7" t="s">
        <v>61</v>
      </c>
      <c r="J13" s="8">
        <v>4</v>
      </c>
    </row>
    <row r="14" spans="1:10" ht="14.65" thickTop="1" x14ac:dyDescent="0.45">
      <c r="A14" s="25" t="s">
        <v>15</v>
      </c>
      <c r="B14" s="26"/>
      <c r="C14" s="26"/>
      <c r="D14" s="26"/>
      <c r="E14" s="26"/>
      <c r="F14" s="26"/>
      <c r="G14" s="26"/>
      <c r="H14" s="27"/>
      <c r="I14" s="5" t="s">
        <v>62</v>
      </c>
      <c r="J14" s="6">
        <v>9.5</v>
      </c>
    </row>
    <row r="15" spans="1:10" ht="14.65" thickBot="1" x14ac:dyDescent="0.5">
      <c r="A15" s="22" t="s">
        <v>16</v>
      </c>
      <c r="B15" s="23"/>
      <c r="C15" s="23"/>
      <c r="D15" s="23"/>
      <c r="E15" s="23"/>
      <c r="F15" s="23"/>
      <c r="G15" s="23"/>
      <c r="H15" s="24"/>
      <c r="I15" s="7" t="s">
        <v>62</v>
      </c>
      <c r="J15" s="8">
        <v>8.5</v>
      </c>
    </row>
    <row r="16" spans="1:10" ht="15" thickTop="1" thickBot="1" x14ac:dyDescent="0.5">
      <c r="A16" s="19" t="s">
        <v>17</v>
      </c>
      <c r="B16" s="20"/>
      <c r="C16" s="20"/>
      <c r="D16" s="20"/>
      <c r="E16" s="20"/>
      <c r="F16" s="20"/>
      <c r="G16" s="20"/>
      <c r="H16" s="21"/>
      <c r="I16" s="9" t="s">
        <v>18</v>
      </c>
      <c r="J16" s="10">
        <v>18.2</v>
      </c>
    </row>
    <row r="17" ht="14.65" thickTop="1" x14ac:dyDescent="0.45"/>
  </sheetData>
  <mergeCells count="14">
    <mergeCell ref="A9:H9"/>
    <mergeCell ref="A10:H10"/>
    <mergeCell ref="A11:H11"/>
    <mergeCell ref="A12:H12"/>
    <mergeCell ref="A16:H16"/>
    <mergeCell ref="A15:H15"/>
    <mergeCell ref="A14:H14"/>
    <mergeCell ref="A13:H13"/>
    <mergeCell ref="A8:H8"/>
    <mergeCell ref="A1:H1"/>
    <mergeCell ref="A4:H4"/>
    <mergeCell ref="A5:H5"/>
    <mergeCell ref="A6:H6"/>
    <mergeCell ref="A7:H7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866F-549B-44E4-9D16-9FE372EFECF5}">
  <dimension ref="A1:AG7"/>
  <sheetViews>
    <sheetView topLeftCell="R1" workbookViewId="0">
      <selection activeCell="AA17" sqref="AA17"/>
    </sheetView>
  </sheetViews>
  <sheetFormatPr defaultRowHeight="14.25" x14ac:dyDescent="0.45"/>
  <sheetData>
    <row r="1" spans="1:33" x14ac:dyDescent="0.45">
      <c r="A1" t="s">
        <v>26</v>
      </c>
      <c r="C1" t="s">
        <v>49</v>
      </c>
      <c r="D1" t="s">
        <v>50</v>
      </c>
      <c r="E1" t="s">
        <v>27</v>
      </c>
      <c r="F1" t="s">
        <v>15</v>
      </c>
      <c r="G1" t="s">
        <v>19</v>
      </c>
      <c r="H1" t="s">
        <v>20</v>
      </c>
      <c r="I1" t="s">
        <v>21</v>
      </c>
      <c r="J1" t="s">
        <v>3</v>
      </c>
      <c r="K1" t="s">
        <v>4</v>
      </c>
      <c r="L1" t="s">
        <v>22</v>
      </c>
      <c r="M1" t="s">
        <v>6</v>
      </c>
      <c r="N1" t="s">
        <v>23</v>
      </c>
      <c r="O1" t="s">
        <v>24</v>
      </c>
      <c r="P1" t="s">
        <v>25</v>
      </c>
      <c r="Q1" t="s">
        <v>10</v>
      </c>
      <c r="R1" t="s">
        <v>11</v>
      </c>
      <c r="S1" t="s">
        <v>12</v>
      </c>
      <c r="T1" t="s">
        <v>13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58</v>
      </c>
      <c r="AB1" t="s">
        <v>14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</row>
    <row r="2" spans="1:33" x14ac:dyDescent="0.45">
      <c r="A2">
        <v>1</v>
      </c>
      <c r="C2">
        <v>3</v>
      </c>
      <c r="D2">
        <v>3</v>
      </c>
      <c r="E2">
        <v>4</v>
      </c>
      <c r="F2">
        <v>10</v>
      </c>
      <c r="H2" t="s">
        <v>59</v>
      </c>
      <c r="I2">
        <v>4</v>
      </c>
      <c r="J2">
        <v>4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3</v>
      </c>
      <c r="S2">
        <v>5</v>
      </c>
      <c r="T2">
        <v>3</v>
      </c>
      <c r="U2">
        <v>5</v>
      </c>
      <c r="V2">
        <v>1</v>
      </c>
      <c r="W2">
        <v>1</v>
      </c>
      <c r="X2">
        <v>1</v>
      </c>
      <c r="Y2">
        <v>1</v>
      </c>
      <c r="Z2">
        <v>1</v>
      </c>
      <c r="AA2">
        <f>(AVERAGE(U2:Z2)-1)*100/19</f>
        <v>3.5087719298245617</v>
      </c>
      <c r="AB2">
        <v>10</v>
      </c>
    </row>
    <row r="3" spans="1:33" x14ac:dyDescent="0.45">
      <c r="A3">
        <v>2</v>
      </c>
      <c r="C3">
        <v>2</v>
      </c>
      <c r="D3">
        <v>4</v>
      </c>
      <c r="E3">
        <v>2</v>
      </c>
      <c r="F3">
        <v>8</v>
      </c>
      <c r="H3" t="s">
        <v>60</v>
      </c>
      <c r="I3">
        <v>3</v>
      </c>
      <c r="J3">
        <v>4</v>
      </c>
      <c r="K3">
        <v>3</v>
      </c>
      <c r="L3">
        <v>3</v>
      </c>
      <c r="M3">
        <v>3</v>
      </c>
      <c r="N3">
        <v>4</v>
      </c>
      <c r="O3">
        <v>4</v>
      </c>
      <c r="P3">
        <v>4</v>
      </c>
      <c r="Q3">
        <v>5</v>
      </c>
      <c r="R3">
        <v>5</v>
      </c>
      <c r="S3">
        <v>4</v>
      </c>
      <c r="T3">
        <v>4</v>
      </c>
      <c r="U3">
        <v>3</v>
      </c>
      <c r="V3">
        <v>1</v>
      </c>
      <c r="W3">
        <v>1</v>
      </c>
      <c r="X3">
        <v>4</v>
      </c>
      <c r="Y3">
        <v>4</v>
      </c>
      <c r="Z3">
        <v>1</v>
      </c>
      <c r="AA3">
        <f>(AVERAGE(U3:Z3)-1)*100/19</f>
        <v>7.0175438596491233</v>
      </c>
      <c r="AB3">
        <v>9</v>
      </c>
    </row>
    <row r="4" spans="1:33" x14ac:dyDescent="0.45">
      <c r="A4">
        <v>3</v>
      </c>
      <c r="C4">
        <v>3</v>
      </c>
      <c r="D4">
        <v>4</v>
      </c>
      <c r="E4">
        <v>4</v>
      </c>
      <c r="F4">
        <v>10</v>
      </c>
      <c r="H4" t="s">
        <v>59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1</v>
      </c>
      <c r="V4">
        <v>10</v>
      </c>
      <c r="W4">
        <v>1</v>
      </c>
      <c r="X4">
        <v>2</v>
      </c>
      <c r="Y4">
        <v>7</v>
      </c>
      <c r="Z4">
        <v>1</v>
      </c>
      <c r="AA4">
        <f>(AVERAGE(U4:Z4)-1)*100/19</f>
        <v>14.035087719298243</v>
      </c>
      <c r="AB4">
        <v>9</v>
      </c>
    </row>
    <row r="5" spans="1:33" x14ac:dyDescent="0.45">
      <c r="A5">
        <v>4</v>
      </c>
      <c r="C5">
        <v>3</v>
      </c>
      <c r="D5">
        <v>3</v>
      </c>
      <c r="E5">
        <v>2</v>
      </c>
      <c r="F5">
        <v>10</v>
      </c>
      <c r="H5" t="s">
        <v>59</v>
      </c>
      <c r="I5">
        <v>3</v>
      </c>
      <c r="J5">
        <v>3</v>
      </c>
      <c r="K5">
        <v>3</v>
      </c>
      <c r="L5">
        <v>3</v>
      </c>
      <c r="M5">
        <v>3</v>
      </c>
      <c r="N5">
        <v>4</v>
      </c>
      <c r="O5">
        <v>3</v>
      </c>
      <c r="P5">
        <v>4</v>
      </c>
      <c r="Q5">
        <v>5</v>
      </c>
      <c r="R5">
        <v>4</v>
      </c>
      <c r="S5">
        <v>4</v>
      </c>
      <c r="T5">
        <v>4</v>
      </c>
      <c r="U5">
        <v>11</v>
      </c>
      <c r="V5">
        <v>11</v>
      </c>
      <c r="W5">
        <v>7</v>
      </c>
      <c r="X5">
        <v>11</v>
      </c>
      <c r="Y5">
        <v>11</v>
      </c>
      <c r="Z5">
        <v>10</v>
      </c>
      <c r="AA5">
        <f>(AVERAGE(U5:Z5)-1)*100/19</f>
        <v>48.245614035087719</v>
      </c>
      <c r="AB5">
        <v>6</v>
      </c>
    </row>
    <row r="7" spans="1:33" x14ac:dyDescent="0.45">
      <c r="C7">
        <f>AVERAGE(C2:C5)</f>
        <v>2.75</v>
      </c>
      <c r="D7">
        <f t="shared" ref="D7:AB7" si="0">AVERAGE(D2:D5)</f>
        <v>3.5</v>
      </c>
      <c r="E7">
        <f t="shared" si="0"/>
        <v>3</v>
      </c>
      <c r="F7">
        <f t="shared" si="0"/>
        <v>9.5</v>
      </c>
      <c r="G7" t="e">
        <f t="shared" si="0"/>
        <v>#DIV/0!</v>
      </c>
      <c r="H7" t="e">
        <f t="shared" si="0"/>
        <v>#DIV/0!</v>
      </c>
      <c r="I7">
        <f t="shared" si="0"/>
        <v>3.75</v>
      </c>
      <c r="J7">
        <f t="shared" si="0"/>
        <v>4</v>
      </c>
      <c r="K7">
        <f t="shared" si="0"/>
        <v>4</v>
      </c>
      <c r="L7">
        <f t="shared" si="0"/>
        <v>4</v>
      </c>
      <c r="M7">
        <f t="shared" si="0"/>
        <v>4</v>
      </c>
      <c r="N7">
        <f t="shared" si="0"/>
        <v>4.5</v>
      </c>
      <c r="O7">
        <f t="shared" si="0"/>
        <v>4.25</v>
      </c>
      <c r="P7">
        <f t="shared" si="0"/>
        <v>4.5</v>
      </c>
      <c r="Q7">
        <f t="shared" si="0"/>
        <v>5</v>
      </c>
      <c r="R7">
        <f t="shared" si="0"/>
        <v>4.25</v>
      </c>
      <c r="S7">
        <f t="shared" si="0"/>
        <v>4.5</v>
      </c>
      <c r="T7">
        <f t="shared" si="0"/>
        <v>4</v>
      </c>
      <c r="U7">
        <f t="shared" si="0"/>
        <v>5</v>
      </c>
      <c r="V7">
        <f t="shared" si="0"/>
        <v>5.75</v>
      </c>
      <c r="W7">
        <f t="shared" si="0"/>
        <v>2.5</v>
      </c>
      <c r="X7">
        <f t="shared" si="0"/>
        <v>4.5</v>
      </c>
      <c r="Y7">
        <f t="shared" si="0"/>
        <v>5.75</v>
      </c>
      <c r="Z7">
        <f t="shared" si="0"/>
        <v>3.25</v>
      </c>
      <c r="AA7">
        <f t="shared" si="0"/>
        <v>18.201754385964911</v>
      </c>
      <c r="AB7">
        <f t="shared" si="0"/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16D7-6D21-4119-9A7B-64A56ED86B80}">
  <dimension ref="A1:W5"/>
  <sheetViews>
    <sheetView workbookViewId="0">
      <selection activeCell="J5" sqref="J5:K5"/>
    </sheetView>
  </sheetViews>
  <sheetFormatPr defaultRowHeight="14.25" x14ac:dyDescent="0.45"/>
  <sheetData>
    <row r="1" spans="1:23" x14ac:dyDescent="0.45">
      <c r="B1" t="s">
        <v>49</v>
      </c>
      <c r="C1" t="s">
        <v>50</v>
      </c>
      <c r="D1" t="s">
        <v>27</v>
      </c>
      <c r="E1" t="s">
        <v>15</v>
      </c>
      <c r="F1" t="s">
        <v>56</v>
      </c>
      <c r="G1" t="s">
        <v>21</v>
      </c>
      <c r="H1" t="s">
        <v>3</v>
      </c>
      <c r="I1" t="s">
        <v>4</v>
      </c>
      <c r="J1" t="s">
        <v>22</v>
      </c>
      <c r="K1" t="s">
        <v>6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55</v>
      </c>
      <c r="W1" t="s">
        <v>53</v>
      </c>
    </row>
    <row r="2" spans="1:23" x14ac:dyDescent="0.45">
      <c r="A2" t="s">
        <v>51</v>
      </c>
      <c r="B2">
        <v>5</v>
      </c>
      <c r="C2">
        <v>5</v>
      </c>
      <c r="D2">
        <v>4</v>
      </c>
      <c r="E2">
        <v>8</v>
      </c>
      <c r="G2">
        <v>3</v>
      </c>
      <c r="H2">
        <v>4</v>
      </c>
      <c r="I2">
        <v>4</v>
      </c>
      <c r="J2">
        <v>5</v>
      </c>
      <c r="K2">
        <v>5</v>
      </c>
      <c r="L2">
        <v>5</v>
      </c>
      <c r="M2">
        <v>1</v>
      </c>
      <c r="N2">
        <v>5</v>
      </c>
      <c r="O2">
        <v>2</v>
      </c>
      <c r="P2">
        <v>4</v>
      </c>
      <c r="Q2">
        <v>1</v>
      </c>
      <c r="R2">
        <v>4</v>
      </c>
      <c r="S2">
        <v>1</v>
      </c>
      <c r="T2">
        <v>4</v>
      </c>
      <c r="U2">
        <v>1</v>
      </c>
      <c r="V2">
        <v>90</v>
      </c>
      <c r="W2" t="s">
        <v>54</v>
      </c>
    </row>
    <row r="3" spans="1:23" x14ac:dyDescent="0.45">
      <c r="A3" t="s">
        <v>52</v>
      </c>
      <c r="B3">
        <v>4</v>
      </c>
      <c r="C3">
        <v>5</v>
      </c>
      <c r="D3">
        <v>5</v>
      </c>
      <c r="E3">
        <v>9</v>
      </c>
      <c r="F3" t="s">
        <v>57</v>
      </c>
      <c r="G3">
        <v>4</v>
      </c>
      <c r="H3">
        <v>4</v>
      </c>
      <c r="I3">
        <v>4</v>
      </c>
      <c r="J3">
        <v>5</v>
      </c>
      <c r="K3">
        <v>4</v>
      </c>
      <c r="L3">
        <v>4</v>
      </c>
      <c r="M3">
        <v>1</v>
      </c>
      <c r="N3">
        <v>5</v>
      </c>
      <c r="O3">
        <v>3</v>
      </c>
      <c r="P3">
        <v>4</v>
      </c>
      <c r="Q3">
        <v>1</v>
      </c>
      <c r="R3">
        <v>4</v>
      </c>
      <c r="S3">
        <v>2</v>
      </c>
      <c r="T3">
        <v>5</v>
      </c>
      <c r="U3">
        <v>1</v>
      </c>
      <c r="V3">
        <v>85</v>
      </c>
      <c r="W3" t="s">
        <v>54</v>
      </c>
    </row>
    <row r="4" spans="1:23" x14ac:dyDescent="0.45">
      <c r="A4" t="s">
        <v>63</v>
      </c>
      <c r="B4">
        <v>3</v>
      </c>
      <c r="C4">
        <v>4</v>
      </c>
      <c r="D4">
        <v>4</v>
      </c>
      <c r="G4">
        <v>3</v>
      </c>
      <c r="H4">
        <v>2</v>
      </c>
      <c r="I4">
        <v>3</v>
      </c>
      <c r="J4">
        <v>4</v>
      </c>
      <c r="K4">
        <v>4</v>
      </c>
      <c r="L4">
        <v>4</v>
      </c>
      <c r="M4">
        <v>1</v>
      </c>
      <c r="N4">
        <v>4</v>
      </c>
      <c r="O4">
        <v>2</v>
      </c>
      <c r="P4">
        <v>3</v>
      </c>
      <c r="Q4">
        <v>2</v>
      </c>
      <c r="R4">
        <v>5</v>
      </c>
      <c r="S4">
        <v>1</v>
      </c>
      <c r="T4">
        <v>4</v>
      </c>
      <c r="U4">
        <v>1</v>
      </c>
      <c r="V4">
        <v>82.5</v>
      </c>
      <c r="W4" t="s">
        <v>54</v>
      </c>
    </row>
    <row r="5" spans="1:23" x14ac:dyDescent="0.45">
      <c r="A5" s="12"/>
      <c r="B5" s="12">
        <f>AVERAGE(B2:B4)</f>
        <v>4</v>
      </c>
      <c r="C5" s="12">
        <f t="shared" ref="C5:V5" si="0">AVERAGE(C2:C4)</f>
        <v>4.666666666666667</v>
      </c>
      <c r="D5" s="12">
        <f t="shared" si="0"/>
        <v>4.333333333333333</v>
      </c>
      <c r="E5" s="12">
        <f t="shared" si="0"/>
        <v>8.5</v>
      </c>
      <c r="F5" s="12" t="e">
        <f t="shared" si="0"/>
        <v>#DIV/0!</v>
      </c>
      <c r="G5" s="12">
        <f t="shared" si="0"/>
        <v>3.3333333333333335</v>
      </c>
      <c r="H5" s="12">
        <f t="shared" si="0"/>
        <v>3.3333333333333335</v>
      </c>
      <c r="I5" s="12">
        <f t="shared" si="0"/>
        <v>3.6666666666666665</v>
      </c>
      <c r="J5" s="12">
        <f t="shared" si="0"/>
        <v>4.666666666666667</v>
      </c>
      <c r="K5" s="12">
        <f t="shared" si="0"/>
        <v>4.333333333333333</v>
      </c>
      <c r="L5" s="12">
        <f t="shared" si="0"/>
        <v>4.333333333333333</v>
      </c>
      <c r="M5" s="12">
        <f t="shared" si="0"/>
        <v>1</v>
      </c>
      <c r="N5" s="12">
        <f t="shared" si="0"/>
        <v>4.666666666666667</v>
      </c>
      <c r="O5" s="12">
        <f t="shared" si="0"/>
        <v>2.3333333333333335</v>
      </c>
      <c r="P5" s="12">
        <f t="shared" si="0"/>
        <v>3.6666666666666665</v>
      </c>
      <c r="Q5" s="12">
        <f t="shared" si="0"/>
        <v>1.3333333333333333</v>
      </c>
      <c r="R5" s="12">
        <f t="shared" si="0"/>
        <v>4.333333333333333</v>
      </c>
      <c r="S5" s="12">
        <f t="shared" si="0"/>
        <v>1.3333333333333333</v>
      </c>
      <c r="T5" s="12">
        <f t="shared" si="0"/>
        <v>4.333333333333333</v>
      </c>
      <c r="U5" s="12">
        <f t="shared" si="0"/>
        <v>1</v>
      </c>
      <c r="V5" s="12">
        <f t="shared" si="0"/>
        <v>85.833333333333329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BFD8-AAC5-4294-B226-D757D81C4EB5}">
  <dimension ref="A4:F12"/>
  <sheetViews>
    <sheetView tabSelected="1" workbookViewId="0">
      <selection activeCell="C1" sqref="C1"/>
    </sheetView>
  </sheetViews>
  <sheetFormatPr defaultRowHeight="14.25" x14ac:dyDescent="0.45"/>
  <cols>
    <col min="4" max="4" width="73.46484375" customWidth="1"/>
    <col min="5" max="5" width="11.3984375" customWidth="1"/>
  </cols>
  <sheetData>
    <row r="4" spans="1:6" x14ac:dyDescent="0.45">
      <c r="D4" s="29" t="s">
        <v>0</v>
      </c>
      <c r="E4" s="30" t="s">
        <v>1</v>
      </c>
      <c r="F4" s="30" t="s">
        <v>2</v>
      </c>
    </row>
    <row r="5" spans="1:6" x14ac:dyDescent="0.45">
      <c r="D5" s="31" t="s">
        <v>21</v>
      </c>
      <c r="E5" s="1" t="s">
        <v>61</v>
      </c>
      <c r="F5" s="28">
        <v>3.33</v>
      </c>
    </row>
    <row r="6" spans="1:6" x14ac:dyDescent="0.45">
      <c r="D6" s="31" t="s">
        <v>3</v>
      </c>
      <c r="E6" s="1" t="s">
        <v>61</v>
      </c>
      <c r="F6" s="28">
        <v>3.33</v>
      </c>
    </row>
    <row r="7" spans="1:6" x14ac:dyDescent="0.45">
      <c r="D7" s="31" t="s">
        <v>4</v>
      </c>
      <c r="E7" s="1" t="s">
        <v>61</v>
      </c>
      <c r="F7" s="28">
        <v>3.67</v>
      </c>
    </row>
    <row r="8" spans="1:6" x14ac:dyDescent="0.45">
      <c r="D8" s="31" t="s">
        <v>64</v>
      </c>
      <c r="E8" s="1" t="s">
        <v>61</v>
      </c>
      <c r="F8" s="28">
        <v>4.67</v>
      </c>
    </row>
    <row r="9" spans="1:6" x14ac:dyDescent="0.45">
      <c r="D9" s="31" t="s">
        <v>6</v>
      </c>
      <c r="E9" s="1" t="s">
        <v>61</v>
      </c>
      <c r="F9" s="28">
        <v>4.33</v>
      </c>
    </row>
    <row r="10" spans="1:6" x14ac:dyDescent="0.45">
      <c r="D10" s="31" t="s">
        <v>15</v>
      </c>
      <c r="E10" s="1" t="s">
        <v>62</v>
      </c>
      <c r="F10" s="28">
        <v>8.5</v>
      </c>
    </row>
    <row r="11" spans="1:6" x14ac:dyDescent="0.45">
      <c r="D11" s="31" t="s">
        <v>55</v>
      </c>
      <c r="E11" s="1" t="s">
        <v>18</v>
      </c>
      <c r="F11" s="32">
        <v>85.33</v>
      </c>
    </row>
    <row r="12" spans="1:6" x14ac:dyDescent="0.45">
      <c r="A12" s="12">
        <v>3.3333333333333335</v>
      </c>
      <c r="B12" s="12">
        <v>3.3333333333333335</v>
      </c>
      <c r="C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ICETeach_VirooEC2</vt:lpstr>
      <vt:lpstr>Trainees</vt:lpstr>
      <vt:lpstr>Teachers</vt:lpstr>
      <vt:lpstr>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Giachetti</cp:lastModifiedBy>
  <dcterms:created xsi:type="dcterms:W3CDTF">2026-06-05T20:44:58Z</dcterms:created>
  <dcterms:modified xsi:type="dcterms:W3CDTF">2026-06-17T16:29:24Z</dcterms:modified>
</cp:coreProperties>
</file>