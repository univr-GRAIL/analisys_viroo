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ocuments\GitHub\analisys_viroo\data\"/>
    </mc:Choice>
  </mc:AlternateContent>
  <xr:revisionPtr revIDLastSave="0" documentId="13_ncr:1_{C4CD8940-4975-4422-A1F4-8A50535F4B4E}" xr6:coauthVersionLast="47" xr6:coauthVersionMax="47" xr10:uidLastSave="{00000000-0000-0000-0000-000000000000}"/>
  <bookViews>
    <workbookView xWindow="975" yWindow="638" windowWidth="17445" windowHeight="10845" firstSheet="3" activeTab="3" xr2:uid="{15226520-C688-450E-8538-8EAABEE5799B}"/>
  </bookViews>
  <sheets>
    <sheet name="simplified_evaluation" sheetId="1" r:id="rId1"/>
    <sheet name="Foglio1" sheetId="2" r:id="rId2"/>
    <sheet name="Foglio2" sheetId="3" r:id="rId3"/>
    <sheet name="Foglio3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8" i="1" l="1"/>
  <c r="AB28" i="1"/>
  <c r="AC28" i="1"/>
  <c r="AD28" i="1"/>
  <c r="AE28" i="1"/>
  <c r="AF28" i="1"/>
  <c r="AG28" i="1"/>
  <c r="AH28" i="1"/>
  <c r="AI28" i="1"/>
  <c r="Z28" i="1"/>
  <c r="AA25" i="1"/>
  <c r="AB25" i="1"/>
  <c r="AC25" i="1"/>
  <c r="AD25" i="1"/>
  <c r="AE25" i="1"/>
  <c r="AF25" i="1"/>
  <c r="AG25" i="1"/>
  <c r="AH25" i="1"/>
  <c r="AI25" i="1"/>
  <c r="AA26" i="1"/>
  <c r="AB26" i="1"/>
  <c r="AC26" i="1"/>
  <c r="AD26" i="1"/>
  <c r="AE26" i="1"/>
  <c r="AF26" i="1"/>
  <c r="AG26" i="1"/>
  <c r="AH26" i="1"/>
  <c r="AI26" i="1"/>
  <c r="AA27" i="1"/>
  <c r="AB27" i="1"/>
  <c r="AC27" i="1"/>
  <c r="AD27" i="1"/>
  <c r="AE27" i="1"/>
  <c r="AF27" i="1"/>
  <c r="AG27" i="1"/>
  <c r="AH27" i="1"/>
  <c r="AI27" i="1"/>
  <c r="Z27" i="1"/>
  <c r="Z25" i="1"/>
  <c r="Z26" i="1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E4" i="3"/>
  <c r="D4" i="3"/>
  <c r="C4" i="3"/>
  <c r="B4" i="3"/>
  <c r="K20" i="2"/>
  <c r="K21" i="2"/>
  <c r="K22" i="2"/>
  <c r="K23" i="2"/>
  <c r="K24" i="2"/>
  <c r="K25" i="2"/>
  <c r="K26" i="2"/>
  <c r="K27" i="2"/>
  <c r="K28" i="2"/>
  <c r="K29" i="2"/>
  <c r="K30" i="2"/>
  <c r="K31" i="2"/>
  <c r="K19" i="2"/>
  <c r="B21" i="2" a="1"/>
  <c r="B20" i="2"/>
  <c r="B19" i="2"/>
  <c r="V16" i="2"/>
  <c r="L31" i="2"/>
  <c r="L20" i="2"/>
  <c r="L21" i="2"/>
  <c r="L22" i="2"/>
  <c r="L23" i="2"/>
  <c r="L24" i="2"/>
  <c r="L25" i="2"/>
  <c r="L26" i="2"/>
  <c r="L27" i="2"/>
  <c r="L28" i="2"/>
  <c r="L29" i="2"/>
  <c r="L30" i="2"/>
  <c r="L19" i="2"/>
  <c r="V5" i="2"/>
  <c r="V6" i="2"/>
  <c r="V7" i="2"/>
  <c r="V8" i="2"/>
  <c r="V9" i="2"/>
  <c r="V10" i="2"/>
  <c r="V11" i="2"/>
  <c r="V12" i="2"/>
  <c r="V13" i="2"/>
  <c r="V14" i="2"/>
  <c r="V15" i="2"/>
  <c r="V4" i="2"/>
  <c r="T16" i="2"/>
  <c r="T5" i="2"/>
  <c r="T6" i="2"/>
  <c r="T8" i="2"/>
  <c r="T9" i="2"/>
  <c r="T10" i="2"/>
  <c r="T11" i="2"/>
  <c r="T12" i="2"/>
  <c r="T13" i="2"/>
  <c r="T14" i="2"/>
  <c r="T15" i="2"/>
  <c r="T4" i="2"/>
  <c r="T7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<sst xmlns="http://schemas.openxmlformats.org/spreadsheetml/2006/main" count="736" uniqueCount="202">
  <si>
    <t>Participant ID</t>
  </si>
  <si>
    <t>nation</t>
  </si>
  <si>
    <t>modality</t>
  </si>
  <si>
    <t>Gender:</t>
  </si>
  <si>
    <t>Age:</t>
  </si>
  <si>
    <t>Highest level of education:</t>
  </si>
  <si>
    <t xml:space="preserve">Current occupation:  </t>
  </si>
  <si>
    <t>Experience Gaming</t>
  </si>
  <si>
    <t>How familiar you are with Industrial environment and processes?</t>
  </si>
  <si>
    <t>How familiar you are with Industrial robotics handling or programming?</t>
  </si>
  <si>
    <t xml:space="preserve">How can the Meta-MES handle the detection of a defective piece made by the quality control cell? </t>
  </si>
  <si>
    <t xml:space="preserve">In the Subtractive Manufacturing cell, what is the role of the UR5 robot? </t>
  </si>
  <si>
    <t xml:space="preserve">The Assembly cell (Cell 4) uses which two types of robotic arms? </t>
  </si>
  <si>
    <t>The Quality Control cell detects defects based on which criteria?</t>
  </si>
  <si>
    <t xml:space="preserve">In the context of the Assembly Cell, what is the role of the OPC-UA server? </t>
  </si>
  <si>
    <t xml:space="preserve">The VERTIMAG EF system is associated with which facility feature? </t>
  </si>
  <si>
    <t>Which is the tallest machine in the lab?</t>
  </si>
  <si>
    <t xml:space="preserve"> Which is the dual arm robot?</t>
  </si>
  <si>
    <t>How many bays are there in the transport line</t>
  </si>
  <si>
    <t>Which machine is closer to the SPEA testing machine?</t>
  </si>
  <si>
    <t>How many pallets are on the conveyor?</t>
  </si>
  <si>
    <t>italiana</t>
  </si>
  <si>
    <t>VR</t>
  </si>
  <si>
    <t>Male</t>
  </si>
  <si>
    <t>30-34</t>
  </si>
  <si>
    <t>University Education</t>
  </si>
  <si>
    <t>Student in Robotics</t>
  </si>
  <si>
    <t>high</t>
  </si>
  <si>
    <t>Familiar</t>
  </si>
  <si>
    <t>True</t>
  </si>
  <si>
    <t>False</t>
  </si>
  <si>
    <t>35-44</t>
  </si>
  <si>
    <t>Unfamiliar</t>
  </si>
  <si>
    <t>DES</t>
  </si>
  <si>
    <t>18-24</t>
  </si>
  <si>
    <t>High school</t>
  </si>
  <si>
    <t>Female</t>
  </si>
  <si>
    <t>Moderate</t>
  </si>
  <si>
    <t>25-29</t>
  </si>
  <si>
    <t>presence</t>
  </si>
  <si>
    <t>In presence</t>
  </si>
  <si>
    <t>Tunisian</t>
  </si>
  <si>
    <t>Very unfamiliar</t>
  </si>
  <si>
    <t>Iranian</t>
  </si>
  <si>
    <t>Togolese</t>
  </si>
  <si>
    <t>No</t>
  </si>
  <si>
    <t>Very familiar</t>
  </si>
  <si>
    <t>waiter</t>
  </si>
  <si>
    <t>Modality</t>
  </si>
  <si>
    <t>Knowledge acquisition</t>
  </si>
  <si>
    <t>Spatial awareness</t>
  </si>
  <si>
    <t>Immersive VR</t>
  </si>
  <si>
    <t>Desktop VR</t>
  </si>
  <si>
    <t>Unweighted-TLX</t>
  </si>
  <si>
    <t>focus</t>
  </si>
  <si>
    <t>curious</t>
  </si>
  <si>
    <t>mental</t>
  </si>
  <si>
    <t>active</t>
  </si>
  <si>
    <t>boring</t>
  </si>
  <si>
    <t>same</t>
  </si>
  <si>
    <t>different</t>
  </si>
  <si>
    <t>touch</t>
  </si>
  <si>
    <t>visualize</t>
  </si>
  <si>
    <t>spark</t>
  </si>
  <si>
    <t>familiar</t>
  </si>
  <si>
    <t>ICElab</t>
  </si>
  <si>
    <t xml:space="preserve">I felt like I was standing in the ICELAB </t>
  </si>
  <si>
    <t xml:space="preserve">How likely are you to recommend MASTER XR Educational Scene to a friend or colleague? </t>
  </si>
  <si>
    <t xml:space="preserve">What did you like most about the MASTER XR Educational Scene?  </t>
  </si>
  <si>
    <t>Does the language used in MASTER XR Educational Scene take into consideration gender, education, and cultural diversities?  (Type 'Yes' or Specify the points that you think there is an issue)</t>
  </si>
  <si>
    <t xml:space="preserve">MASTER XR improved my familiarization with an industrial environment.  </t>
  </si>
  <si>
    <t xml:space="preserve">MASTER XR improved my familiarization with industrial robots handling/programming. </t>
  </si>
  <si>
    <t xml:space="preserve">MASTER XR improved my familiarization with Mixed reality technology and application. </t>
  </si>
  <si>
    <t xml:space="preserve">It is easy to understand the language used in MASTER XR Educational Scene (included in information/instruction panels). </t>
  </si>
  <si>
    <t xml:space="preserve">It is easy to understand and follow the training procedure in MASTER XR Educational Scene. </t>
  </si>
  <si>
    <t xml:space="preserve">Overall MASTER XR Educational Scene graphics (Consider how easy is to identify the various objects and how realistic they are.) </t>
  </si>
  <si>
    <t xml:space="preserve">Overall MASTER XR Educational Scene interactions (Consider how easy is to handle objects, select a choice, etc.) </t>
  </si>
  <si>
    <t xml:space="preserve">Navigation-locomotion comfort in MASTER XR Educational Scene (Consider how easy it is to move into the environment.) </t>
  </si>
  <si>
    <t xml:space="preserve">I feel safe using MASTER XR Educational Scene for robotics training purposes. </t>
  </si>
  <si>
    <t xml:space="preserve">I feel safe using traditional ways for robotics training. </t>
  </si>
  <si>
    <t xml:space="preserve">It is easy to use MASTER XR Educational Scene. </t>
  </si>
  <si>
    <t>It is easy to use traditional ways for robotics training.</t>
  </si>
  <si>
    <t>Model quality</t>
  </si>
  <si>
    <t>yes</t>
  </si>
  <si>
    <t>the envirnment</t>
  </si>
  <si>
    <t xml:space="preserve">moving around without bothering noone </t>
  </si>
  <si>
    <t xml:space="preserve">Since I didn't know anything about the subject, it intrigued me in every way and helped me understand how certain machines are actually built </t>
  </si>
  <si>
    <t>how i was able to move around, looking for informations and the possibilty to make a question and recive an answer</t>
  </si>
  <si>
    <t>no</t>
  </si>
  <si>
    <t>The details and the fact that it was not just a static scene</t>
  </si>
  <si>
    <t xml:space="preserve">The virtualizazion of the scene is pretty "real", the explanations are good </t>
  </si>
  <si>
    <t>the way I could move into the lab</t>
  </si>
  <si>
    <t>The ease of movement and machinery interaction</t>
  </si>
  <si>
    <t>The real-life resemblance</t>
  </si>
  <si>
    <t>Each machine has its own explaination, the adopted dictionary is simple to understand, information are easily accessible</t>
  </si>
  <si>
    <t>the environment was really clear and tidy, also since it is not so big of a place, i get used to the dimensions, object placing and spatiality very quickly, also liked the outdoor models aswell, helps to give context</t>
  </si>
  <si>
    <t>the perception to be in the real lab</t>
  </si>
  <si>
    <t>The graphical parts and the robot details</t>
  </si>
  <si>
    <t>the explaining voice</t>
  </si>
  <si>
    <t>The way you can interact with the enviroment arround you</t>
  </si>
  <si>
    <t>Do you think you have achieved the learning objectives of the scenes?</t>
  </si>
  <si>
    <t>achieved</t>
  </si>
  <si>
    <t>Interactions_Count</t>
  </si>
  <si>
    <t>Most_Looked_Machine</t>
  </si>
  <si>
    <t>Most_Interacted_Machine</t>
  </si>
  <si>
    <t>51.51</t>
  </si>
  <si>
    <t>ai_spea</t>
  </si>
  <si>
    <t>None</t>
  </si>
  <si>
    <t>593.59</t>
  </si>
  <si>
    <t>80.44</t>
  </si>
  <si>
    <t>UR5Milling</t>
  </si>
  <si>
    <t>541.2</t>
  </si>
  <si>
    <t>100.31</t>
  </si>
  <si>
    <t>ai_vertimag</t>
  </si>
  <si>
    <t>613.45</t>
  </si>
  <si>
    <t>81.53</t>
  </si>
  <si>
    <t>KAIROS</t>
  </si>
  <si>
    <t>Quality Control</t>
  </si>
  <si>
    <t>564.8</t>
  </si>
  <si>
    <t>580.12</t>
  </si>
  <si>
    <t>310.39</t>
  </si>
  <si>
    <t>612.98</t>
  </si>
  <si>
    <t>84.16</t>
  </si>
  <si>
    <t>Kuka iiwa 14 R820</t>
  </si>
  <si>
    <t>612.57</t>
  </si>
  <si>
    <t>41.37</t>
  </si>
  <si>
    <t>QualityControl</t>
  </si>
  <si>
    <t>ConceptMill 105 EMCO</t>
  </si>
  <si>
    <t>587.46</t>
  </si>
  <si>
    <t>78.69</t>
  </si>
  <si>
    <t>572.56</t>
  </si>
  <si>
    <t>81.98</t>
  </si>
  <si>
    <t>Vertical Warehouse</t>
  </si>
  <si>
    <t>633.04</t>
  </si>
  <si>
    <t>78.09</t>
  </si>
  <si>
    <t>645.63</t>
  </si>
  <si>
    <t>27.25</t>
  </si>
  <si>
    <t>654.41</t>
  </si>
  <si>
    <t>181.33</t>
  </si>
  <si>
    <t>624.11</t>
  </si>
  <si>
    <t>109.78</t>
  </si>
  <si>
    <t>617.36</t>
  </si>
  <si>
    <t>141.35</t>
  </si>
  <si>
    <t>ai_collab</t>
  </si>
  <si>
    <t>Yumi ABB - MGE-Q5965-YUMI</t>
  </si>
  <si>
    <t>641.41</t>
  </si>
  <si>
    <t>Total_Distance</t>
  </si>
  <si>
    <t>Total_Time</t>
  </si>
  <si>
    <t>140.11</t>
  </si>
  <si>
    <t>605.67</t>
  </si>
  <si>
    <t xml:space="preserve">Overall MASTER XR Educational Scene graphics </t>
  </si>
  <si>
    <t xml:space="preserve">Overall MASTER XR Educational Scene interactions </t>
  </si>
  <si>
    <t xml:space="preserve">Navigation-locomotion comfort in MASTER XR Educational Scene </t>
  </si>
  <si>
    <t>Immersive</t>
  </si>
  <si>
    <t>Desktop</t>
  </si>
  <si>
    <t>All</t>
  </si>
  <si>
    <t>It is easy to understand the language used in MASTER XR Educational Scene</t>
  </si>
  <si>
    <t>Do you think you have achieved the learning objectives of the scenes? (0-10)</t>
  </si>
  <si>
    <t>How familiar you are with Industrial environment and processes</t>
  </si>
  <si>
    <t>How familiar you are with Industrial Robotics</t>
  </si>
  <si>
    <t>How familiar you are with Mixed Reality technology and applications?</t>
  </si>
  <si>
    <t>Like most</t>
  </si>
  <si>
    <t>I think that I would like to use this system frequently.</t>
  </si>
  <si>
    <t>I found the system unnecessarily complex.</t>
  </si>
  <si>
    <t>I thought the system was easy to use.</t>
  </si>
  <si>
    <t>I think that I would need the support of a technical person to be able to use this system.</t>
  </si>
  <si>
    <t>I found the various functions in this system were well integrated.</t>
  </si>
  <si>
    <t>I thought there was too much inconsistency in this system.</t>
  </si>
  <si>
    <t>I would imagine that most people would learn to use this system very quickly.</t>
  </si>
  <si>
    <t>I found the system very cumbersome to use.</t>
  </si>
  <si>
    <t>I felt very confident using the system.</t>
  </si>
  <si>
    <t>I needed to learn a lot of things before I could get going with this system.</t>
  </si>
  <si>
    <t>SUS score</t>
  </si>
  <si>
    <t>Was MASTER XR ES useful to cover LO?</t>
  </si>
  <si>
    <t>T1</t>
  </si>
  <si>
    <t>Yes</t>
  </si>
  <si>
    <t>T2</t>
  </si>
  <si>
    <t>Yes, it supported the achievement of the learning objectives by making the process easier to</t>
  </si>
  <si>
    <t>visualize and follow. It also offers the possibility to show an industrial environment to a larger</t>
  </si>
  <si>
    <t>number of students remotely</t>
  </si>
  <si>
    <t>I appreciated how it can support the explanation of a production line and its digital twin. Allows to present complex topics in a different and more engaging way</t>
  </si>
  <si>
    <t xml:space="preserve">It is easy to understand the language used in MASTER XR Educational Scene. </t>
  </si>
  <si>
    <t>values range</t>
  </si>
  <si>
    <t>1-5</t>
  </si>
  <si>
    <t>1-10</t>
  </si>
  <si>
    <t>1-100</t>
  </si>
  <si>
    <t>System Usability Scale</t>
  </si>
  <si>
    <t>Average</t>
  </si>
  <si>
    <t>76.3</t>
  </si>
  <si>
    <t>Question/score</t>
  </si>
  <si>
    <t>Question</t>
  </si>
  <si>
    <t>S</t>
  </si>
  <si>
    <t>  I found it easy to maintain my focus on the descriptions of the various workcells. </t>
  </si>
  <si>
    <t>  The way the information was presented made me curious to learn more about Industry 4.0.</t>
  </si>
  <si>
    <t>  A strong mental effort was required to navigate the environment and understand the explanations</t>
  </si>
  <si>
    <t>  I felt like an active participant in the tour rather than a passive observer.  </t>
  </si>
  <si>
    <t>  The experience was 'boring' or 'dry'.</t>
  </si>
  <si>
    <t>  I would be interested in visiting the ICELab again using this same modality.</t>
  </si>
  <si>
    <t>  I would be interested in visiting the ICELab again using a different modality.</t>
  </si>
  <si>
    <t>  I had an urge to 'touch' or 'interact' with the machinery (e.g., the UR5 robot or the conveyor)</t>
  </si>
  <si>
    <t>  I can easily visualize the layout of the lab in my mind right now.</t>
  </si>
  <si>
    <t>  The modality sparks a desire for more knowledge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</si>
</sst>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0" fillId="0" borderId="0" xfId="0" applyAlignment="1">
      <alignment vertical="center" wrapText="1"/>
    </xf>
    <xf numFmtId="2" fontId="0" fillId="0" borderId="0" xfId="0" applyNumberFormat="1"/>
    <xf numFmtId="2" fontId="0" fillId="0" borderId="10" xfId="0" applyNumberForma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10" xfId="0" applyFont="1" applyBorder="1"/>
    <xf numFmtId="0" fontId="0" fillId="0" borderId="10" xfId="0" applyBorder="1"/>
    <xf numFmtId="49" fontId="0" fillId="0" borderId="10" xfId="0" applyNumberFormat="1" applyBorder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16" fillId="34" borderId="10" xfId="0" applyFont="1" applyFill="1" applyBorder="1" applyAlignment="1">
      <alignment horizontal="center"/>
    </xf>
    <xf numFmtId="0" fontId="16" fillId="0" borderId="10" xfId="0" applyFont="1" applyBorder="1" applyAlignment="1">
      <alignment horizontal="left"/>
    </xf>
    <xf numFmtId="0" fontId="16" fillId="34" borderId="11" xfId="0" applyFont="1" applyFill="1" applyBorder="1" applyAlignment="1">
      <alignment horizontal="center"/>
    </xf>
    <xf numFmtId="0" fontId="16" fillId="34" borderId="12" xfId="0" applyFont="1" applyFill="1" applyBorder="1" applyAlignment="1">
      <alignment horizontal="center"/>
    </xf>
    <xf numFmtId="0" fontId="16" fillId="34" borderId="13" xfId="0" applyFont="1" applyFill="1" applyBorder="1" applyAlignment="1">
      <alignment horizontal="center"/>
    </xf>
    <xf numFmtId="0" fontId="16" fillId="34" borderId="10" xfId="0" applyFont="1" applyFill="1" applyBorder="1" applyAlignment="1">
      <alignment horizontal="center"/>
    </xf>
    <xf numFmtId="49" fontId="0" fillId="0" borderId="0" xfId="0" applyNumberFormat="1" applyFill="1" applyBorder="1" applyAlignment="1">
      <alignment horizontal="center"/>
    </xf>
    <xf numFmtId="2" fontId="0" fillId="0" borderId="10" xfId="0" applyNumberFormat="1" applyBorder="1"/>
    <xf numFmtId="2" fontId="16" fillId="0" borderId="10" xfId="0" applyNumberFormat="1" applyFont="1" applyBorder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Types" Target="richData/rdRichValueTypes.xml"/><Relationship Id="rId5" Type="http://schemas.openxmlformats.org/officeDocument/2006/relationships/theme" Target="theme/theme1.xml"/><Relationship Id="rId10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microsoft.com/office/2017/06/relationships/rdRichValue" Target="richData/rdrichvalu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15</v>
    <v>8</v>
    <v>0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06EC1-C1F8-4698-AE0D-AB7CAF3D34C8}">
  <dimension ref="A1:BG28"/>
  <sheetViews>
    <sheetView topLeftCell="W10" workbookViewId="0">
      <selection activeCell="Z28" sqref="Z28:AI28"/>
    </sheetView>
  </sheetViews>
  <sheetFormatPr defaultRowHeight="14.25" x14ac:dyDescent="0.45"/>
  <cols>
    <col min="23" max="23" width="13.9296875" customWidth="1"/>
    <col min="58" max="58" width="14.33203125" customWidth="1"/>
  </cols>
  <sheetData>
    <row r="1" spans="1:59" x14ac:dyDescent="0.45">
      <c r="A1" t="s">
        <v>0</v>
      </c>
      <c r="B1" t="s">
        <v>1</v>
      </c>
      <c r="C1" t="s">
        <v>2</v>
      </c>
      <c r="D1" t="s">
        <v>48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49</v>
      </c>
      <c r="X1" t="s">
        <v>50</v>
      </c>
      <c r="Y1" t="s">
        <v>53</v>
      </c>
      <c r="Z1" t="s">
        <v>54</v>
      </c>
      <c r="AA1" t="s">
        <v>55</v>
      </c>
      <c r="AB1" t="s">
        <v>56</v>
      </c>
      <c r="AC1" t="s">
        <v>57</v>
      </c>
      <c r="AD1" t="s">
        <v>58</v>
      </c>
      <c r="AE1" t="s">
        <v>59</v>
      </c>
      <c r="AF1" t="s">
        <v>60</v>
      </c>
      <c r="AG1" t="s">
        <v>61</v>
      </c>
      <c r="AH1" t="s">
        <v>62</v>
      </c>
      <c r="AI1" t="s">
        <v>63</v>
      </c>
      <c r="AJ1" t="s">
        <v>64</v>
      </c>
      <c r="AK1" t="s">
        <v>65</v>
      </c>
      <c r="AL1" t="s">
        <v>66</v>
      </c>
      <c r="AM1" t="s">
        <v>67</v>
      </c>
      <c r="AN1" t="s">
        <v>68</v>
      </c>
      <c r="AO1" t="s">
        <v>69</v>
      </c>
      <c r="AP1" t="s">
        <v>70</v>
      </c>
      <c r="AQ1" t="s">
        <v>71</v>
      </c>
      <c r="AR1" t="s">
        <v>72</v>
      </c>
      <c r="AS1" t="s">
        <v>73</v>
      </c>
      <c r="AT1" t="s">
        <v>74</v>
      </c>
      <c r="AU1" t="s">
        <v>75</v>
      </c>
      <c r="AV1" t="s">
        <v>76</v>
      </c>
      <c r="AW1" t="s">
        <v>77</v>
      </c>
      <c r="AX1" t="s">
        <v>78</v>
      </c>
      <c r="AY1" t="s">
        <v>79</v>
      </c>
      <c r="AZ1" t="s">
        <v>80</v>
      </c>
      <c r="BA1" t="s">
        <v>81</v>
      </c>
      <c r="BB1" t="s">
        <v>101</v>
      </c>
      <c r="BC1" t="s">
        <v>146</v>
      </c>
      <c r="BD1" t="s">
        <v>102</v>
      </c>
      <c r="BE1" t="s">
        <v>103</v>
      </c>
      <c r="BF1" t="s">
        <v>104</v>
      </c>
      <c r="BG1" t="s">
        <v>147</v>
      </c>
    </row>
    <row r="2" spans="1:59" x14ac:dyDescent="0.45">
      <c r="A2">
        <v>1</v>
      </c>
      <c r="B2" t="s">
        <v>21</v>
      </c>
      <c r="C2" t="s">
        <v>22</v>
      </c>
      <c r="D2" t="s">
        <v>51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28</v>
      </c>
      <c r="L2" t="s">
        <v>29</v>
      </c>
      <c r="M2" t="s">
        <v>29</v>
      </c>
      <c r="N2" t="s">
        <v>29</v>
      </c>
      <c r="O2" t="s">
        <v>29</v>
      </c>
      <c r="P2" t="s">
        <v>29</v>
      </c>
      <c r="Q2" t="s">
        <v>29</v>
      </c>
      <c r="R2" t="s">
        <v>29</v>
      </c>
      <c r="S2" t="s">
        <v>29</v>
      </c>
      <c r="T2" t="s">
        <v>30</v>
      </c>
      <c r="U2" t="s">
        <v>29</v>
      </c>
      <c r="V2" t="s">
        <v>29</v>
      </c>
      <c r="W2">
        <v>1</v>
      </c>
      <c r="X2">
        <v>0.8</v>
      </c>
      <c r="Y2">
        <v>22.222222222222225</v>
      </c>
      <c r="Z2">
        <v>5</v>
      </c>
      <c r="AA2">
        <v>5</v>
      </c>
      <c r="AB2">
        <v>1</v>
      </c>
      <c r="AC2">
        <v>5</v>
      </c>
      <c r="AD2">
        <v>1</v>
      </c>
      <c r="AE2">
        <v>5</v>
      </c>
      <c r="AF2">
        <v>2</v>
      </c>
      <c r="AG2">
        <v>2</v>
      </c>
      <c r="AH2">
        <v>5</v>
      </c>
      <c r="AI2">
        <v>4</v>
      </c>
      <c r="AJ2">
        <v>4</v>
      </c>
      <c r="AK2">
        <v>5</v>
      </c>
      <c r="AL2">
        <v>5</v>
      </c>
      <c r="AM2">
        <v>5</v>
      </c>
      <c r="AN2" t="s">
        <v>82</v>
      </c>
      <c r="AO2" t="s">
        <v>83</v>
      </c>
      <c r="AP2">
        <v>4</v>
      </c>
      <c r="AQ2">
        <v>4</v>
      </c>
      <c r="AR2">
        <v>4</v>
      </c>
      <c r="AS2">
        <v>4</v>
      </c>
      <c r="AT2">
        <v>4</v>
      </c>
      <c r="AU2">
        <v>4</v>
      </c>
      <c r="AV2">
        <v>4</v>
      </c>
      <c r="AW2">
        <v>4</v>
      </c>
      <c r="AX2">
        <v>4</v>
      </c>
      <c r="AY2">
        <v>3</v>
      </c>
      <c r="AZ2">
        <v>4</v>
      </c>
      <c r="BA2">
        <v>3</v>
      </c>
      <c r="BB2">
        <v>9</v>
      </c>
      <c r="BC2" t="s">
        <v>105</v>
      </c>
      <c r="BD2">
        <v>7</v>
      </c>
      <c r="BE2" t="s">
        <v>106</v>
      </c>
      <c r="BF2" t="s">
        <v>107</v>
      </c>
      <c r="BG2" t="s">
        <v>108</v>
      </c>
    </row>
    <row r="3" spans="1:59" x14ac:dyDescent="0.45">
      <c r="A3">
        <v>3</v>
      </c>
      <c r="B3" t="s">
        <v>21</v>
      </c>
      <c r="C3" t="s">
        <v>22</v>
      </c>
      <c r="D3" t="s">
        <v>51</v>
      </c>
      <c r="E3" t="s">
        <v>23</v>
      </c>
      <c r="F3" t="s">
        <v>31</v>
      </c>
      <c r="G3" t="s">
        <v>25</v>
      </c>
      <c r="H3" t="s">
        <v>26</v>
      </c>
      <c r="I3" t="s">
        <v>27</v>
      </c>
      <c r="J3" t="s">
        <v>32</v>
      </c>
      <c r="K3">
        <v>3</v>
      </c>
      <c r="L3" t="s">
        <v>30</v>
      </c>
      <c r="M3" t="s">
        <v>30</v>
      </c>
      <c r="N3" t="s">
        <v>29</v>
      </c>
      <c r="O3" t="s">
        <v>29</v>
      </c>
      <c r="P3" t="s">
        <v>29</v>
      </c>
      <c r="Q3" t="s">
        <v>30</v>
      </c>
      <c r="R3" t="s">
        <v>29</v>
      </c>
      <c r="S3" t="s">
        <v>29</v>
      </c>
      <c r="T3" t="s">
        <v>29</v>
      </c>
      <c r="U3" t="s">
        <v>29</v>
      </c>
      <c r="V3" t="s">
        <v>30</v>
      </c>
      <c r="W3">
        <v>0.5</v>
      </c>
      <c r="X3">
        <v>0.8</v>
      </c>
      <c r="Y3">
        <v>50</v>
      </c>
      <c r="Z3">
        <v>2</v>
      </c>
      <c r="AA3">
        <v>4</v>
      </c>
      <c r="AB3">
        <v>2</v>
      </c>
      <c r="AC3">
        <v>3</v>
      </c>
      <c r="AD3">
        <v>3</v>
      </c>
      <c r="AE3">
        <v>4</v>
      </c>
      <c r="AF3">
        <v>4</v>
      </c>
      <c r="AG3">
        <v>5</v>
      </c>
      <c r="AH3">
        <v>5</v>
      </c>
      <c r="AI3">
        <v>5</v>
      </c>
      <c r="AJ3">
        <v>4</v>
      </c>
      <c r="AK3">
        <v>5</v>
      </c>
      <c r="AL3">
        <v>5</v>
      </c>
      <c r="AM3">
        <v>9</v>
      </c>
      <c r="AN3" t="s">
        <v>84</v>
      </c>
      <c r="AO3" t="s">
        <v>83</v>
      </c>
      <c r="AP3">
        <v>4</v>
      </c>
      <c r="AQ3">
        <v>4</v>
      </c>
      <c r="AR3">
        <v>4</v>
      </c>
      <c r="AS3">
        <v>4</v>
      </c>
      <c r="AT3">
        <v>4</v>
      </c>
      <c r="AU3">
        <v>4</v>
      </c>
      <c r="AV3">
        <v>4</v>
      </c>
      <c r="AW3">
        <v>4</v>
      </c>
      <c r="AX3">
        <v>4</v>
      </c>
      <c r="AY3">
        <v>4</v>
      </c>
      <c r="AZ3">
        <v>4</v>
      </c>
      <c r="BA3">
        <v>4</v>
      </c>
      <c r="BB3">
        <v>6</v>
      </c>
      <c r="BC3" t="s">
        <v>109</v>
      </c>
      <c r="BD3">
        <v>5</v>
      </c>
      <c r="BE3" t="s">
        <v>110</v>
      </c>
      <c r="BF3" t="s">
        <v>107</v>
      </c>
      <c r="BG3" t="s">
        <v>111</v>
      </c>
    </row>
    <row r="4" spans="1:59" x14ac:dyDescent="0.45">
      <c r="A4">
        <v>4</v>
      </c>
      <c r="B4" t="s">
        <v>21</v>
      </c>
      <c r="C4" t="s">
        <v>33</v>
      </c>
      <c r="D4" t="s">
        <v>52</v>
      </c>
      <c r="E4" t="s">
        <v>23</v>
      </c>
      <c r="F4" t="s">
        <v>34</v>
      </c>
      <c r="G4" t="s">
        <v>35</v>
      </c>
      <c r="H4" t="s">
        <v>26</v>
      </c>
      <c r="I4" t="s">
        <v>27</v>
      </c>
      <c r="J4" t="s">
        <v>28</v>
      </c>
      <c r="K4">
        <v>3</v>
      </c>
      <c r="L4" t="s">
        <v>29</v>
      </c>
      <c r="M4" t="s">
        <v>29</v>
      </c>
      <c r="N4" t="s">
        <v>29</v>
      </c>
      <c r="O4" t="s">
        <v>29</v>
      </c>
      <c r="P4" t="s">
        <v>30</v>
      </c>
      <c r="Q4" t="s">
        <v>29</v>
      </c>
      <c r="R4" t="s">
        <v>30</v>
      </c>
      <c r="S4" t="s">
        <v>30</v>
      </c>
      <c r="T4" t="s">
        <v>30</v>
      </c>
      <c r="U4" t="s">
        <v>29</v>
      </c>
      <c r="V4" t="s">
        <v>30</v>
      </c>
      <c r="W4">
        <v>0.83333333333333304</v>
      </c>
      <c r="X4">
        <v>0.2</v>
      </c>
      <c r="Y4">
        <v>36.111111111111107</v>
      </c>
      <c r="Z4">
        <v>3</v>
      </c>
      <c r="AA4">
        <v>3</v>
      </c>
      <c r="AB4">
        <v>4</v>
      </c>
      <c r="AC4">
        <v>3</v>
      </c>
      <c r="AD4">
        <v>2</v>
      </c>
      <c r="AE4">
        <v>4</v>
      </c>
      <c r="AF4">
        <v>4</v>
      </c>
      <c r="AG4">
        <v>4</v>
      </c>
      <c r="AH4">
        <v>5</v>
      </c>
      <c r="AI4">
        <v>4</v>
      </c>
      <c r="AJ4">
        <v>4</v>
      </c>
      <c r="AK4">
        <v>3</v>
      </c>
      <c r="AL4">
        <v>3</v>
      </c>
      <c r="AM4">
        <v>7</v>
      </c>
      <c r="AN4" t="s">
        <v>85</v>
      </c>
      <c r="AO4" t="s">
        <v>83</v>
      </c>
      <c r="AP4">
        <v>4</v>
      </c>
      <c r="AQ4">
        <v>4</v>
      </c>
      <c r="AR4">
        <v>4</v>
      </c>
      <c r="AS4">
        <v>3</v>
      </c>
      <c r="AT4">
        <v>3</v>
      </c>
      <c r="AU4">
        <v>4</v>
      </c>
      <c r="AV4">
        <v>4</v>
      </c>
      <c r="AW4">
        <v>4</v>
      </c>
      <c r="AX4">
        <v>4</v>
      </c>
      <c r="AY4">
        <v>3</v>
      </c>
      <c r="AZ4">
        <v>4</v>
      </c>
      <c r="BA4">
        <v>3</v>
      </c>
      <c r="BB4">
        <v>7</v>
      </c>
      <c r="BC4" t="s">
        <v>112</v>
      </c>
      <c r="BD4">
        <v>1</v>
      </c>
      <c r="BE4" t="s">
        <v>113</v>
      </c>
      <c r="BF4" t="s">
        <v>107</v>
      </c>
      <c r="BG4" t="s">
        <v>114</v>
      </c>
    </row>
    <row r="5" spans="1:59" x14ac:dyDescent="0.45">
      <c r="A5">
        <v>5</v>
      </c>
      <c r="B5" t="s">
        <v>21</v>
      </c>
      <c r="C5" t="s">
        <v>33</v>
      </c>
      <c r="D5" t="s">
        <v>52</v>
      </c>
      <c r="E5" t="s">
        <v>36</v>
      </c>
      <c r="F5" t="s">
        <v>34</v>
      </c>
      <c r="G5" t="s">
        <v>35</v>
      </c>
      <c r="H5" t="s">
        <v>26</v>
      </c>
      <c r="I5" t="s">
        <v>37</v>
      </c>
      <c r="J5" t="s">
        <v>32</v>
      </c>
      <c r="K5" t="s">
        <v>32</v>
      </c>
      <c r="L5" t="s">
        <v>29</v>
      </c>
      <c r="M5" t="s">
        <v>29</v>
      </c>
      <c r="N5" t="s">
        <v>30</v>
      </c>
      <c r="O5" t="s">
        <v>29</v>
      </c>
      <c r="P5" t="s">
        <v>29</v>
      </c>
      <c r="Q5" t="s">
        <v>30</v>
      </c>
      <c r="R5" t="s">
        <v>30</v>
      </c>
      <c r="S5" t="s">
        <v>30</v>
      </c>
      <c r="T5" t="s">
        <v>29</v>
      </c>
      <c r="U5" t="s">
        <v>30</v>
      </c>
      <c r="V5" t="s">
        <v>29</v>
      </c>
      <c r="W5">
        <v>0.66666666666666596</v>
      </c>
      <c r="X5">
        <v>0.4</v>
      </c>
      <c r="Y5">
        <v>52.777777777777779</v>
      </c>
      <c r="Z5">
        <v>3</v>
      </c>
      <c r="AA5">
        <v>4</v>
      </c>
      <c r="AB5">
        <v>3</v>
      </c>
      <c r="AC5">
        <v>3</v>
      </c>
      <c r="AD5">
        <v>1</v>
      </c>
      <c r="AE5">
        <v>3</v>
      </c>
      <c r="AF5">
        <v>3</v>
      </c>
      <c r="AG5">
        <v>3</v>
      </c>
      <c r="AH5">
        <v>4</v>
      </c>
      <c r="AI5">
        <v>3</v>
      </c>
      <c r="AJ5">
        <v>2</v>
      </c>
      <c r="AK5">
        <v>4</v>
      </c>
      <c r="AL5">
        <v>4</v>
      </c>
      <c r="AM5">
        <v>9</v>
      </c>
      <c r="AN5" t="s">
        <v>86</v>
      </c>
      <c r="AO5" t="s">
        <v>83</v>
      </c>
      <c r="AP5">
        <v>4</v>
      </c>
      <c r="AQ5">
        <v>4</v>
      </c>
      <c r="AR5">
        <v>4</v>
      </c>
      <c r="AS5">
        <v>3</v>
      </c>
      <c r="AT5">
        <v>4</v>
      </c>
      <c r="AU5">
        <v>4</v>
      </c>
      <c r="AV5">
        <v>4</v>
      </c>
      <c r="AW5">
        <v>4</v>
      </c>
      <c r="AX5">
        <v>4</v>
      </c>
      <c r="AY5">
        <v>4</v>
      </c>
      <c r="AZ5">
        <v>3</v>
      </c>
      <c r="BA5">
        <v>3</v>
      </c>
      <c r="BB5">
        <v>6</v>
      </c>
      <c r="BC5" t="s">
        <v>115</v>
      </c>
      <c r="BD5">
        <v>0</v>
      </c>
      <c r="BE5" t="s">
        <v>116</v>
      </c>
      <c r="BF5" t="s">
        <v>117</v>
      </c>
      <c r="BG5" t="s">
        <v>118</v>
      </c>
    </row>
    <row r="6" spans="1:59" x14ac:dyDescent="0.45">
      <c r="A6">
        <v>6</v>
      </c>
      <c r="B6" t="s">
        <v>21</v>
      </c>
      <c r="C6" t="s">
        <v>33</v>
      </c>
      <c r="D6" t="s">
        <v>52</v>
      </c>
      <c r="E6" t="s">
        <v>23</v>
      </c>
      <c r="F6" t="s">
        <v>34</v>
      </c>
      <c r="G6" t="s">
        <v>35</v>
      </c>
      <c r="H6" t="s">
        <v>26</v>
      </c>
      <c r="I6" t="s">
        <v>27</v>
      </c>
      <c r="J6" t="s">
        <v>28</v>
      </c>
      <c r="K6" t="s">
        <v>32</v>
      </c>
      <c r="L6" t="s">
        <v>29</v>
      </c>
      <c r="M6" t="s">
        <v>30</v>
      </c>
      <c r="N6" t="s">
        <v>30</v>
      </c>
      <c r="O6" t="s">
        <v>29</v>
      </c>
      <c r="P6" t="s">
        <v>30</v>
      </c>
      <c r="Q6" t="s">
        <v>30</v>
      </c>
      <c r="R6" t="s">
        <v>30</v>
      </c>
      <c r="S6" t="s">
        <v>30</v>
      </c>
      <c r="T6" t="s">
        <v>30</v>
      </c>
      <c r="U6" t="s">
        <v>30</v>
      </c>
      <c r="V6" t="s">
        <v>29</v>
      </c>
      <c r="W6">
        <v>0.33333333333333298</v>
      </c>
      <c r="X6">
        <v>0.2</v>
      </c>
      <c r="Y6">
        <v>41.666666666666664</v>
      </c>
      <c r="Z6">
        <v>4</v>
      </c>
      <c r="AA6">
        <v>3</v>
      </c>
      <c r="AB6">
        <v>3</v>
      </c>
      <c r="AC6">
        <v>4</v>
      </c>
      <c r="AD6">
        <v>1</v>
      </c>
      <c r="AE6">
        <v>4</v>
      </c>
      <c r="AF6">
        <v>5</v>
      </c>
      <c r="AG6">
        <v>3</v>
      </c>
      <c r="AH6">
        <v>5</v>
      </c>
      <c r="AI6">
        <v>4</v>
      </c>
      <c r="AJ6">
        <v>3</v>
      </c>
      <c r="AK6">
        <v>3</v>
      </c>
      <c r="AL6">
        <v>3</v>
      </c>
      <c r="AM6">
        <v>8</v>
      </c>
      <c r="AN6" t="s">
        <v>87</v>
      </c>
      <c r="AO6" t="s">
        <v>88</v>
      </c>
      <c r="AP6">
        <v>4</v>
      </c>
      <c r="AQ6">
        <v>3</v>
      </c>
      <c r="AR6">
        <v>4</v>
      </c>
      <c r="AS6">
        <v>2</v>
      </c>
      <c r="AT6">
        <v>3</v>
      </c>
      <c r="AU6">
        <v>4</v>
      </c>
      <c r="AV6">
        <v>4</v>
      </c>
      <c r="AW6">
        <v>5</v>
      </c>
      <c r="AX6">
        <v>4</v>
      </c>
      <c r="AY6">
        <v>5</v>
      </c>
      <c r="AZ6">
        <v>5</v>
      </c>
      <c r="BA6">
        <v>3</v>
      </c>
      <c r="BB6">
        <v>8</v>
      </c>
      <c r="BC6" t="s">
        <v>112</v>
      </c>
      <c r="BD6">
        <v>0</v>
      </c>
      <c r="BE6" t="s">
        <v>110</v>
      </c>
      <c r="BF6" t="s">
        <v>117</v>
      </c>
      <c r="BG6" t="s">
        <v>119</v>
      </c>
    </row>
    <row r="7" spans="1:59" ht="28.5" x14ac:dyDescent="0.45">
      <c r="A7">
        <v>7</v>
      </c>
      <c r="B7" t="s">
        <v>21</v>
      </c>
      <c r="C7" t="s">
        <v>22</v>
      </c>
      <c r="D7" t="s">
        <v>51</v>
      </c>
      <c r="E7" t="s">
        <v>23</v>
      </c>
      <c r="F7" t="s">
        <v>38</v>
      </c>
      <c r="G7" t="s">
        <v>25</v>
      </c>
      <c r="H7" t="s">
        <v>26</v>
      </c>
      <c r="I7" t="s">
        <v>27</v>
      </c>
      <c r="J7" t="s">
        <v>28</v>
      </c>
      <c r="K7" t="s">
        <v>28</v>
      </c>
      <c r="L7" t="s">
        <v>29</v>
      </c>
      <c r="M7" t="s">
        <v>29</v>
      </c>
      <c r="N7" t="s">
        <v>29</v>
      </c>
      <c r="O7" t="s">
        <v>29</v>
      </c>
      <c r="P7" t="s">
        <v>29</v>
      </c>
      <c r="Q7" t="s">
        <v>29</v>
      </c>
      <c r="R7" t="s">
        <v>29</v>
      </c>
      <c r="S7" t="s">
        <v>29</v>
      </c>
      <c r="T7" t="s">
        <v>30</v>
      </c>
      <c r="U7" t="s">
        <v>29</v>
      </c>
      <c r="V7" t="s">
        <v>29</v>
      </c>
      <c r="W7">
        <v>1</v>
      </c>
      <c r="X7">
        <v>0.8</v>
      </c>
      <c r="Y7">
        <v>19.444444444444443</v>
      </c>
      <c r="Z7">
        <v>3</v>
      </c>
      <c r="AA7">
        <v>4</v>
      </c>
      <c r="AB7">
        <v>1</v>
      </c>
      <c r="AC7">
        <v>3</v>
      </c>
      <c r="AD7">
        <v>2</v>
      </c>
      <c r="AE7">
        <v>5</v>
      </c>
      <c r="AF7">
        <v>4</v>
      </c>
      <c r="AG7">
        <v>4</v>
      </c>
      <c r="AH7">
        <v>5</v>
      </c>
      <c r="AI7">
        <v>5</v>
      </c>
      <c r="AJ7">
        <v>3</v>
      </c>
      <c r="AK7">
        <v>5</v>
      </c>
      <c r="AL7">
        <v>5</v>
      </c>
      <c r="AM7">
        <v>10</v>
      </c>
      <c r="AN7" t="s">
        <v>89</v>
      </c>
      <c r="AO7" t="s">
        <v>83</v>
      </c>
      <c r="AP7">
        <v>4</v>
      </c>
      <c r="AQ7">
        <v>4</v>
      </c>
      <c r="AR7">
        <v>4</v>
      </c>
      <c r="AS7">
        <v>4</v>
      </c>
      <c r="AT7">
        <v>5</v>
      </c>
      <c r="AU7">
        <v>5</v>
      </c>
      <c r="AV7">
        <v>5</v>
      </c>
      <c r="AW7">
        <v>5</v>
      </c>
      <c r="AX7">
        <v>5</v>
      </c>
      <c r="AY7">
        <v>4</v>
      </c>
      <c r="AZ7">
        <v>5</v>
      </c>
      <c r="BA7">
        <v>5</v>
      </c>
      <c r="BB7">
        <v>7</v>
      </c>
      <c r="BC7" s="1" t="s">
        <v>148</v>
      </c>
      <c r="BD7" s="1">
        <v>0</v>
      </c>
      <c r="BE7" s="1" t="s">
        <v>126</v>
      </c>
      <c r="BF7" s="1" t="s">
        <v>123</v>
      </c>
      <c r="BG7" s="1" t="s">
        <v>149</v>
      </c>
    </row>
    <row r="8" spans="1:59" x14ac:dyDescent="0.45">
      <c r="A8">
        <v>8</v>
      </c>
      <c r="B8" t="s">
        <v>21</v>
      </c>
      <c r="C8" t="s">
        <v>39</v>
      </c>
      <c r="D8" t="s">
        <v>40</v>
      </c>
      <c r="E8" t="s">
        <v>23</v>
      </c>
      <c r="F8" t="s">
        <v>34</v>
      </c>
      <c r="G8" t="s">
        <v>25</v>
      </c>
      <c r="H8" t="s">
        <v>26</v>
      </c>
      <c r="I8" t="s">
        <v>27</v>
      </c>
      <c r="J8" t="s">
        <v>28</v>
      </c>
      <c r="K8" t="s">
        <v>28</v>
      </c>
      <c r="L8" t="s">
        <v>29</v>
      </c>
      <c r="M8" t="s">
        <v>29</v>
      </c>
      <c r="N8" t="s">
        <v>30</v>
      </c>
      <c r="O8" t="s">
        <v>30</v>
      </c>
      <c r="P8" t="s">
        <v>29</v>
      </c>
      <c r="Q8" t="s">
        <v>29</v>
      </c>
      <c r="R8" t="s">
        <v>30</v>
      </c>
      <c r="S8" t="s">
        <v>30</v>
      </c>
      <c r="T8" t="s">
        <v>30</v>
      </c>
      <c r="U8" t="s">
        <v>30</v>
      </c>
      <c r="V8" t="s">
        <v>29</v>
      </c>
      <c r="W8">
        <v>0.66666666666666596</v>
      </c>
      <c r="X8">
        <v>0.2</v>
      </c>
      <c r="Y8">
        <v>0</v>
      </c>
      <c r="Z8">
        <v>4</v>
      </c>
      <c r="AA8">
        <v>5</v>
      </c>
      <c r="AB8">
        <v>3</v>
      </c>
      <c r="AC8">
        <v>4</v>
      </c>
      <c r="AD8">
        <v>2</v>
      </c>
      <c r="AE8">
        <v>4</v>
      </c>
      <c r="AF8">
        <v>3</v>
      </c>
      <c r="AG8">
        <v>5</v>
      </c>
      <c r="AH8">
        <v>4</v>
      </c>
      <c r="AI8">
        <v>5</v>
      </c>
    </row>
    <row r="9" spans="1:59" x14ac:dyDescent="0.45">
      <c r="A9">
        <v>9</v>
      </c>
      <c r="B9" t="s">
        <v>21</v>
      </c>
      <c r="C9" t="s">
        <v>39</v>
      </c>
      <c r="D9" t="s">
        <v>40</v>
      </c>
      <c r="E9" t="s">
        <v>23</v>
      </c>
      <c r="F9" t="s">
        <v>34</v>
      </c>
      <c r="G9" t="s">
        <v>25</v>
      </c>
      <c r="H9" t="s">
        <v>26</v>
      </c>
      <c r="I9" t="s">
        <v>27</v>
      </c>
      <c r="J9">
        <v>3</v>
      </c>
      <c r="K9" t="s">
        <v>28</v>
      </c>
      <c r="L9" t="s">
        <v>29</v>
      </c>
      <c r="M9" t="s">
        <v>30</v>
      </c>
      <c r="N9" t="s">
        <v>29</v>
      </c>
      <c r="O9" t="s">
        <v>29</v>
      </c>
      <c r="P9" t="s">
        <v>29</v>
      </c>
      <c r="Q9" t="s">
        <v>29</v>
      </c>
      <c r="R9" t="s">
        <v>29</v>
      </c>
      <c r="S9" t="s">
        <v>29</v>
      </c>
      <c r="T9" t="s">
        <v>29</v>
      </c>
      <c r="U9" t="s">
        <v>30</v>
      </c>
      <c r="V9" t="s">
        <v>29</v>
      </c>
      <c r="W9">
        <v>0.83333333333333304</v>
      </c>
      <c r="X9">
        <v>0.8</v>
      </c>
      <c r="Y9">
        <v>0</v>
      </c>
      <c r="Z9">
        <v>3</v>
      </c>
      <c r="AA9">
        <v>5</v>
      </c>
      <c r="AB9">
        <v>2</v>
      </c>
      <c r="AC9">
        <v>4</v>
      </c>
      <c r="AD9">
        <v>1</v>
      </c>
      <c r="AE9">
        <v>5</v>
      </c>
      <c r="AF9">
        <v>4</v>
      </c>
      <c r="AG9">
        <v>4</v>
      </c>
      <c r="AH9">
        <v>5</v>
      </c>
      <c r="AI9">
        <v>4</v>
      </c>
    </row>
    <row r="10" spans="1:59" x14ac:dyDescent="0.45">
      <c r="A10">
        <v>10</v>
      </c>
      <c r="B10" t="s">
        <v>41</v>
      </c>
      <c r="C10" t="s">
        <v>39</v>
      </c>
      <c r="D10" t="s">
        <v>40</v>
      </c>
      <c r="E10" t="s">
        <v>23</v>
      </c>
      <c r="F10" t="s">
        <v>34</v>
      </c>
      <c r="G10" t="s">
        <v>35</v>
      </c>
      <c r="H10" t="s">
        <v>26</v>
      </c>
      <c r="I10" t="s">
        <v>27</v>
      </c>
      <c r="J10">
        <v>3</v>
      </c>
      <c r="K10" t="s">
        <v>42</v>
      </c>
      <c r="L10" t="s">
        <v>29</v>
      </c>
      <c r="M10" t="s">
        <v>29</v>
      </c>
      <c r="N10" t="s">
        <v>29</v>
      </c>
      <c r="O10" t="s">
        <v>29</v>
      </c>
      <c r="P10" t="s">
        <v>29</v>
      </c>
      <c r="Q10" t="s">
        <v>30</v>
      </c>
      <c r="R10" t="s">
        <v>30</v>
      </c>
      <c r="S10" t="s">
        <v>29</v>
      </c>
      <c r="T10" t="s">
        <v>30</v>
      </c>
      <c r="U10" t="s">
        <v>30</v>
      </c>
      <c r="V10" t="s">
        <v>29</v>
      </c>
      <c r="W10">
        <v>0.83333333333333304</v>
      </c>
      <c r="X10">
        <v>0.4</v>
      </c>
      <c r="Y10">
        <v>0</v>
      </c>
      <c r="Z10">
        <v>4</v>
      </c>
      <c r="AA10">
        <v>5</v>
      </c>
      <c r="AB10">
        <v>3</v>
      </c>
      <c r="AC10">
        <v>3</v>
      </c>
      <c r="AD10">
        <v>1</v>
      </c>
      <c r="AE10">
        <v>3</v>
      </c>
      <c r="AF10">
        <v>4</v>
      </c>
      <c r="AG10">
        <v>4</v>
      </c>
      <c r="AH10">
        <v>3</v>
      </c>
      <c r="AI10">
        <v>4</v>
      </c>
    </row>
    <row r="11" spans="1:59" x14ac:dyDescent="0.45">
      <c r="A11">
        <v>11</v>
      </c>
      <c r="B11" t="s">
        <v>43</v>
      </c>
      <c r="C11" t="s">
        <v>39</v>
      </c>
      <c r="D11" t="s">
        <v>40</v>
      </c>
      <c r="E11" t="s">
        <v>23</v>
      </c>
      <c r="F11" t="s">
        <v>34</v>
      </c>
      <c r="G11" t="s">
        <v>25</v>
      </c>
      <c r="H11" t="s">
        <v>26</v>
      </c>
      <c r="I11" t="s">
        <v>27</v>
      </c>
      <c r="J11" t="s">
        <v>32</v>
      </c>
      <c r="K11" t="s">
        <v>32</v>
      </c>
      <c r="L11" t="s">
        <v>29</v>
      </c>
      <c r="M11" t="s">
        <v>30</v>
      </c>
      <c r="N11" t="s">
        <v>29</v>
      </c>
      <c r="O11" t="s">
        <v>29</v>
      </c>
      <c r="P11" t="s">
        <v>29</v>
      </c>
      <c r="Q11" t="s">
        <v>29</v>
      </c>
      <c r="R11" t="s">
        <v>29</v>
      </c>
      <c r="S11" t="s">
        <v>29</v>
      </c>
      <c r="T11" t="s">
        <v>30</v>
      </c>
      <c r="U11" t="s">
        <v>29</v>
      </c>
      <c r="V11" t="s">
        <v>30</v>
      </c>
      <c r="W11">
        <v>0.83333333333333304</v>
      </c>
      <c r="X11">
        <v>0.6</v>
      </c>
      <c r="Y11">
        <v>0</v>
      </c>
      <c r="Z11">
        <v>2</v>
      </c>
      <c r="AA11">
        <v>3</v>
      </c>
      <c r="AB11">
        <v>5</v>
      </c>
      <c r="AC11">
        <v>3</v>
      </c>
      <c r="AD11">
        <v>1</v>
      </c>
      <c r="AE11">
        <v>3</v>
      </c>
      <c r="AF11">
        <v>4</v>
      </c>
      <c r="AG11">
        <v>3</v>
      </c>
      <c r="AH11">
        <v>2</v>
      </c>
      <c r="AI11">
        <v>4</v>
      </c>
    </row>
    <row r="12" spans="1:59" x14ac:dyDescent="0.45">
      <c r="A12">
        <v>12</v>
      </c>
      <c r="B12" t="s">
        <v>44</v>
      </c>
      <c r="C12" t="s">
        <v>39</v>
      </c>
      <c r="D12" t="s">
        <v>40</v>
      </c>
      <c r="E12" t="s">
        <v>23</v>
      </c>
      <c r="F12" t="s">
        <v>38</v>
      </c>
      <c r="G12" t="s">
        <v>25</v>
      </c>
      <c r="H12" t="s">
        <v>26</v>
      </c>
      <c r="I12" t="s">
        <v>27</v>
      </c>
      <c r="J12">
        <v>3</v>
      </c>
      <c r="K12">
        <v>3</v>
      </c>
      <c r="L12" t="s">
        <v>29</v>
      </c>
      <c r="M12" t="s">
        <v>30</v>
      </c>
      <c r="N12" t="s">
        <v>30</v>
      </c>
      <c r="O12" t="s">
        <v>29</v>
      </c>
      <c r="P12" t="s">
        <v>29</v>
      </c>
      <c r="Q12" t="s">
        <v>29</v>
      </c>
      <c r="R12" t="s">
        <v>29</v>
      </c>
      <c r="S12" t="s">
        <v>29</v>
      </c>
      <c r="T12" t="s">
        <v>30</v>
      </c>
      <c r="U12" t="s">
        <v>30</v>
      </c>
      <c r="V12" t="s">
        <v>29</v>
      </c>
      <c r="W12">
        <v>0.66666666666666596</v>
      </c>
      <c r="X12">
        <v>0.6</v>
      </c>
      <c r="Y12">
        <v>0</v>
      </c>
      <c r="Z12">
        <v>3</v>
      </c>
      <c r="AA12">
        <v>5</v>
      </c>
      <c r="AB12">
        <v>3</v>
      </c>
      <c r="AC12">
        <v>4</v>
      </c>
      <c r="AD12">
        <v>1</v>
      </c>
      <c r="AE12">
        <v>5</v>
      </c>
      <c r="AF12">
        <v>5</v>
      </c>
      <c r="AG12">
        <v>4</v>
      </c>
      <c r="AH12">
        <v>4</v>
      </c>
      <c r="AI12">
        <v>5</v>
      </c>
    </row>
    <row r="13" spans="1:59" x14ac:dyDescent="0.45">
      <c r="A13">
        <v>13</v>
      </c>
      <c r="B13" t="s">
        <v>21</v>
      </c>
      <c r="C13" t="s">
        <v>39</v>
      </c>
      <c r="D13" t="s">
        <v>40</v>
      </c>
      <c r="E13" t="s">
        <v>36</v>
      </c>
      <c r="F13" t="s">
        <v>34</v>
      </c>
      <c r="G13" t="s">
        <v>25</v>
      </c>
      <c r="H13" t="s">
        <v>26</v>
      </c>
      <c r="I13" t="s">
        <v>45</v>
      </c>
      <c r="J13">
        <v>3</v>
      </c>
      <c r="K13" t="s">
        <v>28</v>
      </c>
      <c r="L13" t="s">
        <v>29</v>
      </c>
      <c r="M13" t="s">
        <v>30</v>
      </c>
      <c r="N13" t="s">
        <v>30</v>
      </c>
      <c r="O13" t="s">
        <v>29</v>
      </c>
      <c r="P13" t="s">
        <v>30</v>
      </c>
      <c r="Q13" t="s">
        <v>30</v>
      </c>
      <c r="R13" t="s">
        <v>29</v>
      </c>
      <c r="S13" t="s">
        <v>29</v>
      </c>
      <c r="T13" t="s">
        <v>30</v>
      </c>
      <c r="U13" t="s">
        <v>29</v>
      </c>
      <c r="V13" t="s">
        <v>29</v>
      </c>
      <c r="W13">
        <v>0.33333333333333298</v>
      </c>
      <c r="X13">
        <v>0.8</v>
      </c>
      <c r="Y13">
        <v>0</v>
      </c>
      <c r="Z13">
        <v>3</v>
      </c>
      <c r="AA13">
        <v>4</v>
      </c>
      <c r="AB13">
        <v>4</v>
      </c>
      <c r="AC13">
        <v>4</v>
      </c>
      <c r="AD13">
        <v>2</v>
      </c>
      <c r="AE13">
        <v>3</v>
      </c>
      <c r="AF13">
        <v>4</v>
      </c>
      <c r="AG13">
        <v>4</v>
      </c>
      <c r="AH13">
        <v>4</v>
      </c>
      <c r="AI13">
        <v>4</v>
      </c>
    </row>
    <row r="14" spans="1:59" x14ac:dyDescent="0.45">
      <c r="A14">
        <v>14</v>
      </c>
      <c r="B14" t="s">
        <v>21</v>
      </c>
      <c r="C14" t="s">
        <v>33</v>
      </c>
      <c r="D14" t="s">
        <v>52</v>
      </c>
      <c r="E14" t="s">
        <v>23</v>
      </c>
      <c r="F14" t="s">
        <v>34</v>
      </c>
      <c r="G14" t="s">
        <v>35</v>
      </c>
      <c r="H14" t="s">
        <v>26</v>
      </c>
      <c r="I14" t="s">
        <v>27</v>
      </c>
      <c r="J14">
        <v>3</v>
      </c>
      <c r="K14" t="s">
        <v>28</v>
      </c>
      <c r="L14" t="s">
        <v>29</v>
      </c>
      <c r="M14" t="s">
        <v>30</v>
      </c>
      <c r="N14" t="s">
        <v>29</v>
      </c>
      <c r="O14" t="s">
        <v>29</v>
      </c>
      <c r="P14" t="s">
        <v>30</v>
      </c>
      <c r="Q14" t="s">
        <v>30</v>
      </c>
      <c r="R14" t="s">
        <v>29</v>
      </c>
      <c r="S14" t="s">
        <v>30</v>
      </c>
      <c r="T14" t="s">
        <v>30</v>
      </c>
      <c r="U14" t="s">
        <v>30</v>
      </c>
      <c r="V14" t="s">
        <v>29</v>
      </c>
      <c r="W14">
        <v>0.5</v>
      </c>
      <c r="X14">
        <v>0.4</v>
      </c>
      <c r="Y14">
        <v>38.888888888888893</v>
      </c>
      <c r="Z14">
        <v>3</v>
      </c>
      <c r="AA14">
        <v>5</v>
      </c>
      <c r="AB14">
        <v>2</v>
      </c>
      <c r="AC14">
        <v>4</v>
      </c>
      <c r="AD14">
        <v>1</v>
      </c>
      <c r="AE14">
        <v>5</v>
      </c>
      <c r="AF14">
        <v>5</v>
      </c>
      <c r="AG14">
        <v>3</v>
      </c>
      <c r="AH14">
        <v>5</v>
      </c>
      <c r="AI14">
        <v>2</v>
      </c>
      <c r="AJ14">
        <v>4</v>
      </c>
      <c r="AK14">
        <v>5</v>
      </c>
      <c r="AL14">
        <v>5</v>
      </c>
      <c r="AM14">
        <v>8</v>
      </c>
      <c r="AN14" t="s">
        <v>90</v>
      </c>
      <c r="AO14" t="s">
        <v>83</v>
      </c>
      <c r="AP14">
        <v>4</v>
      </c>
      <c r="AQ14">
        <v>3</v>
      </c>
      <c r="AR14">
        <v>4</v>
      </c>
      <c r="AS14">
        <v>5</v>
      </c>
      <c r="AT14">
        <v>5</v>
      </c>
      <c r="AU14">
        <v>3</v>
      </c>
      <c r="AV14">
        <v>5</v>
      </c>
      <c r="AW14">
        <v>4</v>
      </c>
      <c r="AX14">
        <v>5</v>
      </c>
      <c r="AY14">
        <v>4</v>
      </c>
      <c r="AZ14">
        <v>5</v>
      </c>
      <c r="BA14">
        <v>4</v>
      </c>
      <c r="BB14">
        <v>8</v>
      </c>
      <c r="BC14" t="s">
        <v>120</v>
      </c>
      <c r="BD14">
        <v>0</v>
      </c>
      <c r="BE14" t="s">
        <v>110</v>
      </c>
      <c r="BF14" t="s">
        <v>117</v>
      </c>
      <c r="BG14" t="s">
        <v>121</v>
      </c>
    </row>
    <row r="15" spans="1:59" x14ac:dyDescent="0.45">
      <c r="A15">
        <v>15</v>
      </c>
      <c r="B15" t="s">
        <v>21</v>
      </c>
      <c r="C15" t="s">
        <v>22</v>
      </c>
      <c r="D15" t="s">
        <v>51</v>
      </c>
      <c r="E15" t="s">
        <v>36</v>
      </c>
      <c r="F15" t="s">
        <v>34</v>
      </c>
      <c r="G15" t="s">
        <v>35</v>
      </c>
      <c r="H15" t="s">
        <v>26</v>
      </c>
      <c r="I15" t="s">
        <v>45</v>
      </c>
      <c r="J15" t="s">
        <v>42</v>
      </c>
      <c r="K15">
        <v>3</v>
      </c>
      <c r="L15" t="s">
        <v>29</v>
      </c>
      <c r="M15" t="s">
        <v>29</v>
      </c>
      <c r="N15" t="s">
        <v>29</v>
      </c>
      <c r="O15" t="s">
        <v>29</v>
      </c>
      <c r="P15" t="s">
        <v>29</v>
      </c>
      <c r="Q15" t="s">
        <v>30</v>
      </c>
      <c r="R15" t="s">
        <v>29</v>
      </c>
      <c r="S15" t="s">
        <v>29</v>
      </c>
      <c r="T15" t="s">
        <v>30</v>
      </c>
      <c r="U15" t="s">
        <v>30</v>
      </c>
      <c r="V15" t="s">
        <v>30</v>
      </c>
      <c r="W15">
        <v>0.83333333333333304</v>
      </c>
      <c r="X15">
        <v>0.4</v>
      </c>
      <c r="Y15">
        <v>38.888888888888893</v>
      </c>
      <c r="Z15">
        <v>2</v>
      </c>
      <c r="AA15">
        <v>3</v>
      </c>
      <c r="AB15">
        <v>1</v>
      </c>
      <c r="AC15">
        <v>4</v>
      </c>
      <c r="AD15">
        <v>2</v>
      </c>
      <c r="AE15">
        <v>4</v>
      </c>
      <c r="AF15">
        <v>2</v>
      </c>
      <c r="AG15">
        <v>1</v>
      </c>
      <c r="AH15">
        <v>5</v>
      </c>
      <c r="AI15">
        <v>4</v>
      </c>
      <c r="AJ15">
        <v>3</v>
      </c>
      <c r="AK15">
        <v>5</v>
      </c>
      <c r="AL15">
        <v>5</v>
      </c>
      <c r="AM15">
        <v>9</v>
      </c>
      <c r="AN15" t="s">
        <v>91</v>
      </c>
      <c r="AO15" t="s">
        <v>83</v>
      </c>
      <c r="AP15">
        <v>4</v>
      </c>
      <c r="AQ15">
        <v>4</v>
      </c>
      <c r="AR15">
        <v>4</v>
      </c>
      <c r="AS15">
        <v>2</v>
      </c>
      <c r="AT15">
        <v>2</v>
      </c>
      <c r="AU15">
        <v>5</v>
      </c>
      <c r="AV15">
        <v>4</v>
      </c>
      <c r="AW15">
        <v>4</v>
      </c>
      <c r="AX15">
        <v>5</v>
      </c>
      <c r="AY15">
        <v>5</v>
      </c>
      <c r="AZ15">
        <v>5</v>
      </c>
      <c r="BA15">
        <v>3</v>
      </c>
      <c r="BB15">
        <v>3</v>
      </c>
      <c r="BC15" t="s">
        <v>122</v>
      </c>
      <c r="BD15">
        <v>0</v>
      </c>
      <c r="BE15" t="s">
        <v>106</v>
      </c>
      <c r="BF15" t="s">
        <v>123</v>
      </c>
      <c r="BG15" t="s">
        <v>124</v>
      </c>
    </row>
    <row r="16" spans="1:59" x14ac:dyDescent="0.45">
      <c r="A16">
        <v>16</v>
      </c>
      <c r="B16" t="s">
        <v>21</v>
      </c>
      <c r="C16" t="s">
        <v>22</v>
      </c>
      <c r="D16" t="s">
        <v>51</v>
      </c>
      <c r="E16" t="s">
        <v>23</v>
      </c>
      <c r="F16" t="s">
        <v>34</v>
      </c>
      <c r="G16" t="s">
        <v>25</v>
      </c>
      <c r="H16" t="s">
        <v>26</v>
      </c>
      <c r="I16" t="s">
        <v>45</v>
      </c>
      <c r="J16" t="s">
        <v>42</v>
      </c>
      <c r="K16" t="s">
        <v>42</v>
      </c>
      <c r="L16" t="s">
        <v>29</v>
      </c>
      <c r="M16" t="s">
        <v>29</v>
      </c>
      <c r="N16" t="s">
        <v>30</v>
      </c>
      <c r="O16" t="s">
        <v>29</v>
      </c>
      <c r="P16" t="s">
        <v>29</v>
      </c>
      <c r="Q16" t="s">
        <v>29</v>
      </c>
      <c r="R16" t="s">
        <v>29</v>
      </c>
      <c r="S16" t="s">
        <v>30</v>
      </c>
      <c r="T16" t="s">
        <v>30</v>
      </c>
      <c r="U16" t="s">
        <v>29</v>
      </c>
      <c r="V16" t="s">
        <v>30</v>
      </c>
      <c r="W16">
        <v>0.83333333333333304</v>
      </c>
      <c r="X16">
        <v>0.4</v>
      </c>
      <c r="Y16">
        <v>38.888888888888893</v>
      </c>
      <c r="Z16">
        <v>2</v>
      </c>
      <c r="AA16">
        <v>4</v>
      </c>
      <c r="AB16">
        <v>3</v>
      </c>
      <c r="AC16">
        <v>2</v>
      </c>
      <c r="AD16">
        <v>1</v>
      </c>
      <c r="AE16">
        <v>4</v>
      </c>
      <c r="AF16">
        <v>4</v>
      </c>
      <c r="AG16">
        <v>4</v>
      </c>
      <c r="AH16">
        <v>5</v>
      </c>
      <c r="AI16">
        <v>4</v>
      </c>
      <c r="AJ16">
        <v>1</v>
      </c>
      <c r="AK16">
        <v>4</v>
      </c>
      <c r="AL16">
        <v>4</v>
      </c>
      <c r="AM16">
        <v>7</v>
      </c>
      <c r="AN16" t="s">
        <v>92</v>
      </c>
      <c r="AO16" t="s">
        <v>83</v>
      </c>
      <c r="AP16">
        <v>4</v>
      </c>
      <c r="AQ16">
        <v>2</v>
      </c>
      <c r="AR16">
        <v>4</v>
      </c>
      <c r="AS16">
        <v>3</v>
      </c>
      <c r="AT16">
        <v>3</v>
      </c>
      <c r="AU16">
        <v>5</v>
      </c>
      <c r="AV16">
        <v>4</v>
      </c>
      <c r="AW16">
        <v>4</v>
      </c>
      <c r="AX16">
        <v>4</v>
      </c>
      <c r="AY16">
        <v>3</v>
      </c>
      <c r="AZ16">
        <v>4</v>
      </c>
      <c r="BA16">
        <v>3</v>
      </c>
      <c r="BB16">
        <v>4</v>
      </c>
      <c r="BC16" t="s">
        <v>125</v>
      </c>
      <c r="BD16">
        <v>0</v>
      </c>
      <c r="BE16" t="s">
        <v>126</v>
      </c>
      <c r="BF16" t="s">
        <v>127</v>
      </c>
      <c r="BG16" t="s">
        <v>128</v>
      </c>
    </row>
    <row r="17" spans="1:59" x14ac:dyDescent="0.45">
      <c r="A17">
        <v>17</v>
      </c>
      <c r="B17" t="s">
        <v>21</v>
      </c>
      <c r="C17" t="s">
        <v>33</v>
      </c>
      <c r="D17" t="s">
        <v>52</v>
      </c>
      <c r="E17" t="s">
        <v>36</v>
      </c>
      <c r="F17" t="s">
        <v>38</v>
      </c>
      <c r="G17" t="s">
        <v>25</v>
      </c>
      <c r="H17" t="s">
        <v>26</v>
      </c>
      <c r="I17" t="s">
        <v>45</v>
      </c>
      <c r="J17" t="s">
        <v>32</v>
      </c>
      <c r="K17" t="s">
        <v>28</v>
      </c>
      <c r="L17" t="s">
        <v>29</v>
      </c>
      <c r="M17" t="s">
        <v>30</v>
      </c>
      <c r="N17" t="s">
        <v>30</v>
      </c>
      <c r="O17" t="s">
        <v>29</v>
      </c>
      <c r="P17" t="s">
        <v>29</v>
      </c>
      <c r="Q17" t="s">
        <v>30</v>
      </c>
      <c r="R17" t="s">
        <v>30</v>
      </c>
      <c r="S17" t="s">
        <v>30</v>
      </c>
      <c r="T17" t="s">
        <v>30</v>
      </c>
      <c r="U17" t="s">
        <v>29</v>
      </c>
      <c r="V17" t="s">
        <v>29</v>
      </c>
      <c r="W17">
        <v>0.5</v>
      </c>
      <c r="X17">
        <v>0.4</v>
      </c>
      <c r="Y17">
        <v>38.888888888888893</v>
      </c>
      <c r="Z17">
        <v>5</v>
      </c>
      <c r="AA17">
        <v>5</v>
      </c>
      <c r="AB17">
        <v>3</v>
      </c>
      <c r="AC17">
        <v>4</v>
      </c>
      <c r="AD17">
        <v>1</v>
      </c>
      <c r="AE17">
        <v>5</v>
      </c>
      <c r="AF17">
        <v>2</v>
      </c>
      <c r="AG17">
        <v>2</v>
      </c>
      <c r="AH17">
        <v>5</v>
      </c>
      <c r="AI17">
        <v>3</v>
      </c>
      <c r="AJ17">
        <v>1</v>
      </c>
      <c r="AK17">
        <v>5</v>
      </c>
      <c r="AL17">
        <v>5</v>
      </c>
      <c r="AM17">
        <v>10</v>
      </c>
      <c r="AN17" t="s">
        <v>93</v>
      </c>
      <c r="AO17" t="s">
        <v>83</v>
      </c>
      <c r="AP17">
        <v>5</v>
      </c>
      <c r="AQ17">
        <v>4</v>
      </c>
      <c r="AR17">
        <v>4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9</v>
      </c>
      <c r="BC17" t="s">
        <v>129</v>
      </c>
      <c r="BD17">
        <v>0</v>
      </c>
      <c r="BE17" t="s">
        <v>110</v>
      </c>
      <c r="BF17" t="s">
        <v>107</v>
      </c>
      <c r="BG17" t="s">
        <v>130</v>
      </c>
    </row>
    <row r="18" spans="1:59" x14ac:dyDescent="0.45">
      <c r="A18">
        <v>18</v>
      </c>
      <c r="B18" t="s">
        <v>21</v>
      </c>
      <c r="C18" t="s">
        <v>22</v>
      </c>
      <c r="D18" t="s">
        <v>51</v>
      </c>
      <c r="E18" t="s">
        <v>23</v>
      </c>
      <c r="F18" t="s">
        <v>38</v>
      </c>
      <c r="G18" t="s">
        <v>25</v>
      </c>
      <c r="H18" t="s">
        <v>26</v>
      </c>
      <c r="I18" t="s">
        <v>27</v>
      </c>
      <c r="J18" t="s">
        <v>28</v>
      </c>
      <c r="K18" t="s">
        <v>46</v>
      </c>
      <c r="L18" t="s">
        <v>29</v>
      </c>
      <c r="M18" t="s">
        <v>29</v>
      </c>
      <c r="N18" t="s">
        <v>30</v>
      </c>
      <c r="O18" t="s">
        <v>30</v>
      </c>
      <c r="P18" t="s">
        <v>29</v>
      </c>
      <c r="Q18" t="s">
        <v>29</v>
      </c>
      <c r="R18" t="s">
        <v>29</v>
      </c>
      <c r="S18" t="s">
        <v>30</v>
      </c>
      <c r="T18" t="s">
        <v>29</v>
      </c>
      <c r="U18" t="s">
        <v>30</v>
      </c>
      <c r="V18" t="s">
        <v>30</v>
      </c>
      <c r="W18">
        <v>0.66666666666666596</v>
      </c>
      <c r="X18">
        <v>0.4</v>
      </c>
      <c r="Y18">
        <v>27.777777777777775</v>
      </c>
      <c r="Z18">
        <v>4</v>
      </c>
      <c r="AA18">
        <v>4</v>
      </c>
      <c r="AB18">
        <v>2</v>
      </c>
      <c r="AC18">
        <v>4</v>
      </c>
      <c r="AD18">
        <v>3</v>
      </c>
      <c r="AE18">
        <v>4</v>
      </c>
      <c r="AF18">
        <v>4</v>
      </c>
      <c r="AG18">
        <v>5</v>
      </c>
      <c r="AH18">
        <v>5</v>
      </c>
      <c r="AI18">
        <v>4</v>
      </c>
      <c r="AJ18">
        <v>2</v>
      </c>
      <c r="AK18">
        <v>3</v>
      </c>
      <c r="AL18">
        <v>3</v>
      </c>
      <c r="AM18">
        <v>7</v>
      </c>
      <c r="AN18" t="s">
        <v>94</v>
      </c>
      <c r="AO18" t="s">
        <v>83</v>
      </c>
      <c r="AP18">
        <v>3</v>
      </c>
      <c r="AQ18">
        <v>3</v>
      </c>
      <c r="AR18">
        <v>4</v>
      </c>
      <c r="AS18">
        <v>4</v>
      </c>
      <c r="AT18">
        <v>4</v>
      </c>
      <c r="AU18">
        <v>4</v>
      </c>
      <c r="AV18">
        <v>2</v>
      </c>
      <c r="AW18">
        <v>4</v>
      </c>
      <c r="AX18">
        <v>5</v>
      </c>
      <c r="AY18">
        <v>4</v>
      </c>
      <c r="AZ18">
        <v>5</v>
      </c>
      <c r="BA18">
        <v>4</v>
      </c>
      <c r="BB18">
        <v>8</v>
      </c>
      <c r="BC18" t="s">
        <v>131</v>
      </c>
      <c r="BD18">
        <v>0</v>
      </c>
      <c r="BE18" t="s">
        <v>110</v>
      </c>
      <c r="BF18" t="s">
        <v>132</v>
      </c>
      <c r="BG18" t="s">
        <v>133</v>
      </c>
    </row>
    <row r="19" spans="1:59" x14ac:dyDescent="0.45">
      <c r="A19">
        <v>19</v>
      </c>
      <c r="B19" t="s">
        <v>21</v>
      </c>
      <c r="C19" t="s">
        <v>22</v>
      </c>
      <c r="D19" t="s">
        <v>51</v>
      </c>
      <c r="E19" t="s">
        <v>23</v>
      </c>
      <c r="F19" t="s">
        <v>38</v>
      </c>
      <c r="G19" t="s">
        <v>25</v>
      </c>
      <c r="H19" t="s">
        <v>26</v>
      </c>
      <c r="I19" t="s">
        <v>27</v>
      </c>
      <c r="J19" t="s">
        <v>32</v>
      </c>
      <c r="K19" t="s">
        <v>28</v>
      </c>
      <c r="L19" t="s">
        <v>29</v>
      </c>
      <c r="M19" t="s">
        <v>29</v>
      </c>
      <c r="N19" t="s">
        <v>29</v>
      </c>
      <c r="O19" t="s">
        <v>29</v>
      </c>
      <c r="P19" t="s">
        <v>29</v>
      </c>
      <c r="Q19" t="s">
        <v>29</v>
      </c>
      <c r="R19" t="s">
        <v>29</v>
      </c>
      <c r="S19" t="s">
        <v>29</v>
      </c>
      <c r="T19" t="s">
        <v>30</v>
      </c>
      <c r="U19" t="s">
        <v>29</v>
      </c>
      <c r="V19" t="s">
        <v>30</v>
      </c>
      <c r="W19">
        <v>1</v>
      </c>
      <c r="X19">
        <v>0.6</v>
      </c>
      <c r="Y19">
        <v>58.333333333333336</v>
      </c>
      <c r="Z19">
        <v>4</v>
      </c>
      <c r="AA19">
        <v>3</v>
      </c>
      <c r="AB19">
        <v>3</v>
      </c>
      <c r="AC19">
        <v>2</v>
      </c>
      <c r="AD19">
        <v>2</v>
      </c>
      <c r="AE19">
        <v>3</v>
      </c>
      <c r="AF19">
        <v>4</v>
      </c>
      <c r="AG19">
        <v>4</v>
      </c>
      <c r="AH19">
        <v>4</v>
      </c>
      <c r="AI19">
        <v>4</v>
      </c>
      <c r="AJ19">
        <v>3</v>
      </c>
      <c r="AK19">
        <v>4</v>
      </c>
      <c r="AL19">
        <v>4</v>
      </c>
      <c r="AM19">
        <v>7</v>
      </c>
      <c r="AN19" t="s">
        <v>95</v>
      </c>
      <c r="AO19" t="s">
        <v>83</v>
      </c>
      <c r="AP19">
        <v>3</v>
      </c>
      <c r="AQ19">
        <v>2</v>
      </c>
      <c r="AR19">
        <v>4</v>
      </c>
      <c r="AS19">
        <v>4</v>
      </c>
      <c r="AT19">
        <v>3</v>
      </c>
      <c r="AU19">
        <v>4</v>
      </c>
      <c r="AV19">
        <v>3</v>
      </c>
      <c r="AW19">
        <v>4</v>
      </c>
      <c r="AX19">
        <v>4</v>
      </c>
      <c r="AY19">
        <v>5</v>
      </c>
      <c r="AZ19">
        <v>4</v>
      </c>
      <c r="BA19">
        <v>3</v>
      </c>
      <c r="BB19">
        <v>7</v>
      </c>
      <c r="BC19" t="s">
        <v>134</v>
      </c>
      <c r="BD19">
        <v>1</v>
      </c>
      <c r="BE19" t="s">
        <v>110</v>
      </c>
      <c r="BF19" t="s">
        <v>107</v>
      </c>
      <c r="BG19" t="s">
        <v>135</v>
      </c>
    </row>
    <row r="20" spans="1:59" x14ac:dyDescent="0.45">
      <c r="A20">
        <v>20</v>
      </c>
      <c r="B20" t="s">
        <v>21</v>
      </c>
      <c r="C20" t="s">
        <v>22</v>
      </c>
      <c r="D20" t="s">
        <v>51</v>
      </c>
      <c r="E20" t="s">
        <v>36</v>
      </c>
      <c r="F20" t="s">
        <v>38</v>
      </c>
      <c r="G20" t="s">
        <v>25</v>
      </c>
      <c r="H20" t="s">
        <v>26</v>
      </c>
      <c r="I20" t="s">
        <v>45</v>
      </c>
      <c r="J20" t="s">
        <v>32</v>
      </c>
      <c r="K20" t="s">
        <v>32</v>
      </c>
      <c r="L20" t="s">
        <v>29</v>
      </c>
      <c r="M20" t="s">
        <v>29</v>
      </c>
      <c r="N20" t="s">
        <v>30</v>
      </c>
      <c r="O20" t="s">
        <v>29</v>
      </c>
      <c r="P20" t="s">
        <v>29</v>
      </c>
      <c r="Q20" t="s">
        <v>29</v>
      </c>
      <c r="R20" t="s">
        <v>30</v>
      </c>
      <c r="S20" t="s">
        <v>30</v>
      </c>
      <c r="T20" t="s">
        <v>29</v>
      </c>
      <c r="U20" t="s">
        <v>30</v>
      </c>
      <c r="V20" t="s">
        <v>29</v>
      </c>
      <c r="W20">
        <v>0.83333333333333304</v>
      </c>
      <c r="X20">
        <v>0.4</v>
      </c>
      <c r="Y20">
        <v>36.111111111111107</v>
      </c>
      <c r="Z20">
        <v>3</v>
      </c>
      <c r="AA20">
        <v>4</v>
      </c>
      <c r="AB20">
        <v>4</v>
      </c>
      <c r="AC20">
        <v>5</v>
      </c>
      <c r="AD20">
        <v>2</v>
      </c>
      <c r="AE20">
        <v>4</v>
      </c>
      <c r="AF20">
        <v>3</v>
      </c>
      <c r="AG20">
        <v>3</v>
      </c>
      <c r="AH20">
        <v>5</v>
      </c>
      <c r="AI20">
        <v>5</v>
      </c>
      <c r="AJ20">
        <v>2</v>
      </c>
      <c r="AK20">
        <v>5</v>
      </c>
      <c r="AL20">
        <v>5</v>
      </c>
      <c r="AM20">
        <v>8</v>
      </c>
      <c r="AN20" t="s">
        <v>96</v>
      </c>
      <c r="AO20" t="s">
        <v>83</v>
      </c>
      <c r="AP20">
        <v>5</v>
      </c>
      <c r="AQ20">
        <v>4</v>
      </c>
      <c r="AR20">
        <v>5</v>
      </c>
      <c r="AS20">
        <v>4</v>
      </c>
      <c r="AT20">
        <v>4</v>
      </c>
      <c r="AU20">
        <v>4</v>
      </c>
      <c r="AV20">
        <v>3</v>
      </c>
      <c r="AW20">
        <v>5</v>
      </c>
      <c r="AX20">
        <v>4</v>
      </c>
      <c r="AY20">
        <v>5</v>
      </c>
      <c r="AZ20">
        <v>5</v>
      </c>
      <c r="BA20">
        <v>4</v>
      </c>
      <c r="BB20">
        <v>7</v>
      </c>
      <c r="BC20" t="s">
        <v>136</v>
      </c>
      <c r="BD20">
        <v>2</v>
      </c>
      <c r="BE20" t="s">
        <v>106</v>
      </c>
      <c r="BF20" t="s">
        <v>107</v>
      </c>
      <c r="BG20" t="s">
        <v>137</v>
      </c>
    </row>
    <row r="21" spans="1:59" x14ac:dyDescent="0.45">
      <c r="A21">
        <v>21</v>
      </c>
      <c r="B21" t="s">
        <v>21</v>
      </c>
      <c r="C21" t="s">
        <v>33</v>
      </c>
      <c r="D21" t="s">
        <v>52</v>
      </c>
      <c r="E21" t="s">
        <v>23</v>
      </c>
      <c r="F21" t="s">
        <v>38</v>
      </c>
      <c r="G21" t="s">
        <v>25</v>
      </c>
      <c r="H21" t="s">
        <v>26</v>
      </c>
      <c r="I21" t="s">
        <v>37</v>
      </c>
      <c r="J21">
        <v>3</v>
      </c>
      <c r="K21" t="s">
        <v>28</v>
      </c>
      <c r="L21" t="s">
        <v>29</v>
      </c>
      <c r="M21" t="s">
        <v>30</v>
      </c>
      <c r="N21" t="s">
        <v>29</v>
      </c>
      <c r="O21" t="s">
        <v>29</v>
      </c>
      <c r="P21" t="s">
        <v>29</v>
      </c>
      <c r="Q21" t="s">
        <v>30</v>
      </c>
      <c r="R21" t="s">
        <v>30</v>
      </c>
      <c r="S21" t="s">
        <v>29</v>
      </c>
      <c r="T21" t="s">
        <v>30</v>
      </c>
      <c r="U21" t="s">
        <v>30</v>
      </c>
      <c r="V21" t="s">
        <v>30</v>
      </c>
      <c r="W21">
        <v>0.66666666666666596</v>
      </c>
      <c r="X21">
        <v>0.2</v>
      </c>
      <c r="Y21">
        <v>27.777777777777775</v>
      </c>
      <c r="Z21">
        <v>3</v>
      </c>
      <c r="AA21">
        <v>5</v>
      </c>
      <c r="AB21">
        <v>3</v>
      </c>
      <c r="AC21">
        <v>5</v>
      </c>
      <c r="AD21">
        <v>1</v>
      </c>
      <c r="AE21">
        <v>5</v>
      </c>
      <c r="AF21">
        <v>5</v>
      </c>
      <c r="AG21">
        <v>3</v>
      </c>
      <c r="AH21">
        <v>4</v>
      </c>
      <c r="AI21">
        <v>5</v>
      </c>
      <c r="AJ21">
        <v>1</v>
      </c>
      <c r="AK21">
        <v>5</v>
      </c>
      <c r="AL21">
        <v>5</v>
      </c>
      <c r="AM21">
        <v>10</v>
      </c>
      <c r="AN21" t="s">
        <v>97</v>
      </c>
      <c r="AO21" t="s">
        <v>83</v>
      </c>
      <c r="AP21">
        <v>4</v>
      </c>
      <c r="AQ21">
        <v>3</v>
      </c>
      <c r="AR21">
        <v>5</v>
      </c>
      <c r="AS21">
        <v>3</v>
      </c>
      <c r="AT21">
        <v>3</v>
      </c>
      <c r="AU21">
        <v>5</v>
      </c>
      <c r="AV21">
        <v>5</v>
      </c>
      <c r="AW21">
        <v>5</v>
      </c>
      <c r="AX21">
        <v>5</v>
      </c>
      <c r="AY21">
        <v>5</v>
      </c>
      <c r="AZ21">
        <v>5</v>
      </c>
      <c r="BA21">
        <v>5</v>
      </c>
      <c r="BB21">
        <v>6</v>
      </c>
      <c r="BC21" t="s">
        <v>138</v>
      </c>
      <c r="BD21">
        <v>3</v>
      </c>
      <c r="BE21" t="s">
        <v>126</v>
      </c>
      <c r="BF21" t="s">
        <v>132</v>
      </c>
      <c r="BG21" t="s">
        <v>139</v>
      </c>
    </row>
    <row r="22" spans="1:59" x14ac:dyDescent="0.45">
      <c r="A22">
        <v>23</v>
      </c>
      <c r="B22" t="s">
        <v>21</v>
      </c>
      <c r="C22" t="s">
        <v>33</v>
      </c>
      <c r="D22" t="s">
        <v>52</v>
      </c>
      <c r="E22" t="s">
        <v>23</v>
      </c>
      <c r="F22" t="s">
        <v>34</v>
      </c>
      <c r="G22" t="s">
        <v>25</v>
      </c>
      <c r="H22" t="s">
        <v>26</v>
      </c>
      <c r="I22" t="s">
        <v>27</v>
      </c>
      <c r="J22">
        <v>3</v>
      </c>
      <c r="K22" t="s">
        <v>28</v>
      </c>
      <c r="L22" t="s">
        <v>29</v>
      </c>
      <c r="M22" t="s">
        <v>29</v>
      </c>
      <c r="N22" t="s">
        <v>30</v>
      </c>
      <c r="O22" t="s">
        <v>29</v>
      </c>
      <c r="P22" t="s">
        <v>29</v>
      </c>
      <c r="Q22" t="s">
        <v>30</v>
      </c>
      <c r="R22" t="s">
        <v>30</v>
      </c>
      <c r="S22" t="s">
        <v>30</v>
      </c>
      <c r="T22" t="s">
        <v>29</v>
      </c>
      <c r="U22" t="s">
        <v>30</v>
      </c>
      <c r="V22" t="s">
        <v>29</v>
      </c>
      <c r="W22">
        <v>0.66666666666666596</v>
      </c>
      <c r="X22">
        <v>0.4</v>
      </c>
      <c r="Y22">
        <v>52.777777777777779</v>
      </c>
      <c r="Z22">
        <v>2</v>
      </c>
      <c r="AA22">
        <v>3</v>
      </c>
      <c r="AB22">
        <v>2</v>
      </c>
      <c r="AC22">
        <v>4</v>
      </c>
      <c r="AD22">
        <v>3</v>
      </c>
      <c r="AE22">
        <v>2</v>
      </c>
      <c r="AF22">
        <v>5</v>
      </c>
      <c r="AG22">
        <v>2</v>
      </c>
      <c r="AH22">
        <v>4</v>
      </c>
      <c r="AI22">
        <v>4</v>
      </c>
      <c r="AJ22">
        <v>3</v>
      </c>
      <c r="AK22">
        <v>2</v>
      </c>
      <c r="AL22">
        <v>2</v>
      </c>
      <c r="AM22">
        <v>7</v>
      </c>
      <c r="AN22" t="s">
        <v>98</v>
      </c>
      <c r="AO22">
        <v>3</v>
      </c>
      <c r="AP22">
        <v>3</v>
      </c>
      <c r="AQ22">
        <v>4</v>
      </c>
      <c r="AR22">
        <v>3</v>
      </c>
      <c r="AS22">
        <v>3</v>
      </c>
      <c r="AT22">
        <v>2</v>
      </c>
      <c r="AU22">
        <v>4</v>
      </c>
      <c r="AV22">
        <v>3</v>
      </c>
      <c r="AW22">
        <v>2</v>
      </c>
      <c r="AX22">
        <v>2</v>
      </c>
      <c r="AY22">
        <v>4</v>
      </c>
      <c r="AZ22">
        <v>2</v>
      </c>
      <c r="BA22">
        <v>3</v>
      </c>
      <c r="BB22">
        <v>4</v>
      </c>
      <c r="BC22" t="s">
        <v>140</v>
      </c>
      <c r="BD22">
        <v>1</v>
      </c>
      <c r="BE22" t="s">
        <v>110</v>
      </c>
      <c r="BF22" t="s">
        <v>107</v>
      </c>
      <c r="BG22" t="s">
        <v>141</v>
      </c>
    </row>
    <row r="23" spans="1:59" x14ac:dyDescent="0.45">
      <c r="A23">
        <v>24</v>
      </c>
      <c r="B23" t="s">
        <v>21</v>
      </c>
      <c r="C23" t="s">
        <v>33</v>
      </c>
      <c r="D23" t="s">
        <v>52</v>
      </c>
      <c r="E23" t="s">
        <v>23</v>
      </c>
      <c r="F23" t="s">
        <v>34</v>
      </c>
      <c r="G23" t="s">
        <v>35</v>
      </c>
      <c r="H23" t="s">
        <v>47</v>
      </c>
      <c r="I23" t="s">
        <v>37</v>
      </c>
      <c r="J23">
        <v>3</v>
      </c>
      <c r="K23" t="s">
        <v>32</v>
      </c>
      <c r="L23" t="s">
        <v>29</v>
      </c>
      <c r="M23" t="s">
        <v>29</v>
      </c>
      <c r="N23" t="s">
        <v>30</v>
      </c>
      <c r="O23" t="s">
        <v>29</v>
      </c>
      <c r="P23" t="s">
        <v>30</v>
      </c>
      <c r="Q23" t="s">
        <v>29</v>
      </c>
      <c r="R23" t="s">
        <v>29</v>
      </c>
      <c r="S23" t="s">
        <v>30</v>
      </c>
      <c r="T23" t="s">
        <v>29</v>
      </c>
      <c r="U23" t="s">
        <v>30</v>
      </c>
      <c r="V23" t="s">
        <v>29</v>
      </c>
      <c r="W23">
        <v>0.66666666666666596</v>
      </c>
      <c r="X23">
        <v>0.6</v>
      </c>
      <c r="Y23">
        <v>52.777777777777779</v>
      </c>
      <c r="Z23">
        <v>4</v>
      </c>
      <c r="AA23">
        <v>4</v>
      </c>
      <c r="AB23">
        <v>3</v>
      </c>
      <c r="AC23">
        <v>3</v>
      </c>
      <c r="AD23">
        <v>3</v>
      </c>
      <c r="AE23">
        <v>1</v>
      </c>
      <c r="AF23">
        <v>5</v>
      </c>
      <c r="AG23">
        <v>5</v>
      </c>
      <c r="AH23">
        <v>4</v>
      </c>
      <c r="AI23">
        <v>3</v>
      </c>
      <c r="AJ23">
        <v>3</v>
      </c>
      <c r="AK23">
        <v>4</v>
      </c>
      <c r="AL23">
        <v>4</v>
      </c>
      <c r="AM23">
        <v>7</v>
      </c>
      <c r="AN23" t="s">
        <v>99</v>
      </c>
      <c r="AO23" t="s">
        <v>83</v>
      </c>
      <c r="AP23">
        <v>4</v>
      </c>
      <c r="AQ23">
        <v>3</v>
      </c>
      <c r="AR23">
        <v>4</v>
      </c>
      <c r="AS23">
        <v>4</v>
      </c>
      <c r="AT23">
        <v>3</v>
      </c>
      <c r="AU23">
        <v>5</v>
      </c>
      <c r="AV23">
        <v>4</v>
      </c>
      <c r="AW23">
        <v>2</v>
      </c>
      <c r="AX23">
        <v>5</v>
      </c>
      <c r="AY23">
        <v>3</v>
      </c>
      <c r="AZ23">
        <v>3</v>
      </c>
      <c r="BA23">
        <v>3</v>
      </c>
      <c r="BB23">
        <v>6</v>
      </c>
      <c r="BC23" t="s">
        <v>142</v>
      </c>
      <c r="BD23">
        <v>1</v>
      </c>
      <c r="BE23" t="s">
        <v>143</v>
      </c>
      <c r="BF23" t="s">
        <v>144</v>
      </c>
      <c r="BG23" t="s">
        <v>145</v>
      </c>
    </row>
    <row r="25" spans="1:59" x14ac:dyDescent="0.45">
      <c r="Z25" s="2">
        <f>AVERAGEIF($C$2:$C$23,"=VR",Z$2:Z$23)</f>
        <v>3.125</v>
      </c>
      <c r="AA25" s="2">
        <f t="shared" ref="AA25:AI25" si="0">AVERAGEIF($C$2:$C$23,"=VR",AA$2:AA$23)</f>
        <v>3.875</v>
      </c>
      <c r="AB25" s="2">
        <f t="shared" si="0"/>
        <v>2.125</v>
      </c>
      <c r="AC25" s="2">
        <f t="shared" si="0"/>
        <v>3.5</v>
      </c>
      <c r="AD25" s="2">
        <f t="shared" si="0"/>
        <v>2</v>
      </c>
      <c r="AE25" s="2">
        <f t="shared" si="0"/>
        <v>4.125</v>
      </c>
      <c r="AF25" s="2">
        <f t="shared" si="0"/>
        <v>3.375</v>
      </c>
      <c r="AG25" s="2">
        <f t="shared" si="0"/>
        <v>3.5</v>
      </c>
      <c r="AH25" s="2">
        <f t="shared" si="0"/>
        <v>4.875</v>
      </c>
      <c r="AI25" s="2">
        <f t="shared" si="0"/>
        <v>4.375</v>
      </c>
    </row>
    <row r="26" spans="1:59" x14ac:dyDescent="0.45">
      <c r="Z26" s="2">
        <f>AVERAGEIF($C$2:$C$23,"=DES",Z$2:Z$23)</f>
        <v>3.375</v>
      </c>
      <c r="AA26" s="2">
        <f t="shared" ref="AA26:AI26" si="1">AVERAGEIF($C$2:$C$23,"=DES",AA$2:AA$23)</f>
        <v>4</v>
      </c>
      <c r="AB26" s="2">
        <f t="shared" si="1"/>
        <v>2.875</v>
      </c>
      <c r="AC26" s="2">
        <f t="shared" si="1"/>
        <v>3.75</v>
      </c>
      <c r="AD26" s="2">
        <f t="shared" si="1"/>
        <v>1.625</v>
      </c>
      <c r="AE26" s="2">
        <f t="shared" si="1"/>
        <v>3.625</v>
      </c>
      <c r="AF26" s="2">
        <f t="shared" si="1"/>
        <v>4.25</v>
      </c>
      <c r="AG26" s="2">
        <f t="shared" si="1"/>
        <v>3.125</v>
      </c>
      <c r="AH26" s="2">
        <f t="shared" si="1"/>
        <v>4.5</v>
      </c>
      <c r="AI26" s="2">
        <f t="shared" si="1"/>
        <v>3.5</v>
      </c>
    </row>
    <row r="27" spans="1:59" x14ac:dyDescent="0.45">
      <c r="Z27" s="2">
        <f>AVERAGEIF($C$2:$C$23,"=presence",Z$2:Z$23)</f>
        <v>3.1666666666666665</v>
      </c>
      <c r="AA27" s="2">
        <f t="shared" ref="AA27:AI27" si="2">AVERAGEIF($C$2:$C$23,"=presence",AA$2:AA$23)</f>
        <v>4.5</v>
      </c>
      <c r="AB27" s="2">
        <f t="shared" si="2"/>
        <v>3.3333333333333335</v>
      </c>
      <c r="AC27" s="2">
        <f t="shared" si="2"/>
        <v>3.6666666666666665</v>
      </c>
      <c r="AD27" s="2">
        <f t="shared" si="2"/>
        <v>1.3333333333333333</v>
      </c>
      <c r="AE27" s="2">
        <f t="shared" si="2"/>
        <v>3.8333333333333335</v>
      </c>
      <c r="AF27" s="2">
        <f t="shared" si="2"/>
        <v>4</v>
      </c>
      <c r="AG27" s="2">
        <f t="shared" si="2"/>
        <v>4</v>
      </c>
      <c r="AH27" s="2">
        <f t="shared" si="2"/>
        <v>3.6666666666666665</v>
      </c>
      <c r="AI27" s="2">
        <f t="shared" si="2"/>
        <v>4.333333333333333</v>
      </c>
    </row>
    <row r="28" spans="1:59" x14ac:dyDescent="0.45">
      <c r="Z28" s="2">
        <f>AVERAGE(Z2:Z23)</f>
        <v>3.2272727272727271</v>
      </c>
      <c r="AA28" s="2">
        <f t="shared" ref="AA28:AI28" si="3">AVERAGE(AA2:AA23)</f>
        <v>4.0909090909090908</v>
      </c>
      <c r="AB28" s="2">
        <f t="shared" si="3"/>
        <v>2.7272727272727271</v>
      </c>
      <c r="AC28" s="2">
        <f t="shared" si="3"/>
        <v>3.6363636363636362</v>
      </c>
      <c r="AD28" s="2">
        <f t="shared" si="3"/>
        <v>1.6818181818181819</v>
      </c>
      <c r="AE28" s="2">
        <f t="shared" si="3"/>
        <v>3.8636363636363638</v>
      </c>
      <c r="AF28" s="2">
        <f t="shared" si="3"/>
        <v>3.8636363636363638</v>
      </c>
      <c r="AG28" s="2">
        <f t="shared" si="3"/>
        <v>3.5</v>
      </c>
      <c r="AH28" s="2">
        <f t="shared" si="3"/>
        <v>4.4090909090909092</v>
      </c>
      <c r="AI28" s="2">
        <f t="shared" si="3"/>
        <v>4.0454545454545459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D5D27-F0B6-41D7-AE2C-5586CDEECF09}">
  <dimension ref="B3:AD47"/>
  <sheetViews>
    <sheetView topLeftCell="A37" workbookViewId="0">
      <selection activeCell="AB36" sqref="AB36"/>
    </sheetView>
  </sheetViews>
  <sheetFormatPr defaultRowHeight="14.25" x14ac:dyDescent="0.45"/>
  <cols>
    <col min="2" max="2" width="98.1328125" customWidth="1"/>
  </cols>
  <sheetData>
    <row r="3" spans="2:22" x14ac:dyDescent="0.45">
      <c r="C3" t="s">
        <v>51</v>
      </c>
      <c r="D3" t="s">
        <v>51</v>
      </c>
      <c r="E3" t="s">
        <v>52</v>
      </c>
      <c r="F3" t="s">
        <v>52</v>
      </c>
      <c r="G3" t="s">
        <v>52</v>
      </c>
      <c r="H3" t="s">
        <v>51</v>
      </c>
      <c r="I3" t="s">
        <v>52</v>
      </c>
      <c r="J3" t="s">
        <v>51</v>
      </c>
      <c r="K3" t="s">
        <v>51</v>
      </c>
      <c r="L3" t="s">
        <v>52</v>
      </c>
      <c r="M3" t="s">
        <v>51</v>
      </c>
      <c r="N3" t="s">
        <v>51</v>
      </c>
      <c r="O3" t="s">
        <v>51</v>
      </c>
      <c r="P3" t="s">
        <v>52</v>
      </c>
      <c r="Q3" t="s">
        <v>52</v>
      </c>
      <c r="R3" t="s">
        <v>52</v>
      </c>
      <c r="T3" t="s">
        <v>154</v>
      </c>
      <c r="U3" t="s">
        <v>153</v>
      </c>
      <c r="V3" t="s">
        <v>155</v>
      </c>
    </row>
    <row r="4" spans="2:22" x14ac:dyDescent="0.45">
      <c r="B4" t="s">
        <v>71</v>
      </c>
      <c r="C4">
        <v>4</v>
      </c>
      <c r="D4">
        <v>4</v>
      </c>
      <c r="E4">
        <v>4</v>
      </c>
      <c r="F4">
        <v>4</v>
      </c>
      <c r="G4">
        <v>3</v>
      </c>
      <c r="H4">
        <v>4</v>
      </c>
      <c r="I4">
        <v>3</v>
      </c>
      <c r="J4">
        <v>4</v>
      </c>
      <c r="K4">
        <v>2</v>
      </c>
      <c r="L4">
        <v>4</v>
      </c>
      <c r="M4">
        <v>3</v>
      </c>
      <c r="N4">
        <v>2</v>
      </c>
      <c r="O4">
        <v>4</v>
      </c>
      <c r="P4">
        <v>3</v>
      </c>
      <c r="Q4">
        <v>4</v>
      </c>
      <c r="R4">
        <v>3</v>
      </c>
      <c r="T4" s="2">
        <f>2*V4-U4</f>
        <v>3.5</v>
      </c>
      <c r="U4" s="2">
        <v>3.375</v>
      </c>
      <c r="V4" s="2">
        <f t="shared" ref="V4:V16" si="0">AVERAGE(C4:R4)</f>
        <v>3.4375</v>
      </c>
    </row>
    <row r="5" spans="2:22" x14ac:dyDescent="0.45">
      <c r="B5" t="s">
        <v>72</v>
      </c>
      <c r="C5">
        <v>4</v>
      </c>
      <c r="D5">
        <v>4</v>
      </c>
      <c r="E5">
        <v>4</v>
      </c>
      <c r="F5">
        <v>4</v>
      </c>
      <c r="G5">
        <v>4</v>
      </c>
      <c r="H5">
        <v>4</v>
      </c>
      <c r="I5">
        <v>4</v>
      </c>
      <c r="J5">
        <v>4</v>
      </c>
      <c r="K5">
        <v>4</v>
      </c>
      <c r="L5">
        <v>4</v>
      </c>
      <c r="M5">
        <v>4</v>
      </c>
      <c r="N5">
        <v>4</v>
      </c>
      <c r="O5">
        <v>5</v>
      </c>
      <c r="P5">
        <v>5</v>
      </c>
      <c r="Q5">
        <v>3</v>
      </c>
      <c r="R5">
        <v>4</v>
      </c>
      <c r="T5" s="2">
        <f t="shared" ref="T5:T15" si="1">2*V5-U5</f>
        <v>4</v>
      </c>
      <c r="U5" s="2">
        <v>4.125</v>
      </c>
      <c r="V5" s="2">
        <f t="shared" si="0"/>
        <v>4.0625</v>
      </c>
    </row>
    <row r="6" spans="2:22" x14ac:dyDescent="0.45">
      <c r="B6" t="s">
        <v>73</v>
      </c>
      <c r="C6">
        <v>4</v>
      </c>
      <c r="D6">
        <v>4</v>
      </c>
      <c r="E6">
        <v>3</v>
      </c>
      <c r="F6">
        <v>3</v>
      </c>
      <c r="G6">
        <v>2</v>
      </c>
      <c r="H6">
        <v>4</v>
      </c>
      <c r="I6">
        <v>5</v>
      </c>
      <c r="J6">
        <v>2</v>
      </c>
      <c r="K6">
        <v>3</v>
      </c>
      <c r="L6">
        <v>5</v>
      </c>
      <c r="M6">
        <v>4</v>
      </c>
      <c r="N6">
        <v>4</v>
      </c>
      <c r="O6">
        <v>4</v>
      </c>
      <c r="P6">
        <v>3</v>
      </c>
      <c r="Q6">
        <v>3</v>
      </c>
      <c r="R6">
        <v>4</v>
      </c>
      <c r="T6" s="2">
        <f t="shared" si="1"/>
        <v>3.5</v>
      </c>
      <c r="U6" s="2">
        <v>3.625</v>
      </c>
      <c r="V6" s="2">
        <f t="shared" si="0"/>
        <v>3.5625</v>
      </c>
    </row>
    <row r="7" spans="2:22" x14ac:dyDescent="0.45">
      <c r="B7" t="s">
        <v>74</v>
      </c>
      <c r="C7">
        <v>4</v>
      </c>
      <c r="D7">
        <v>4</v>
      </c>
      <c r="E7">
        <v>3</v>
      </c>
      <c r="F7">
        <v>4</v>
      </c>
      <c r="G7">
        <v>3</v>
      </c>
      <c r="H7">
        <v>5</v>
      </c>
      <c r="I7">
        <v>5</v>
      </c>
      <c r="J7">
        <v>2</v>
      </c>
      <c r="K7">
        <v>3</v>
      </c>
      <c r="L7">
        <v>5</v>
      </c>
      <c r="M7">
        <v>4</v>
      </c>
      <c r="N7">
        <v>3</v>
      </c>
      <c r="O7">
        <v>4</v>
      </c>
      <c r="P7">
        <v>3</v>
      </c>
      <c r="Q7">
        <v>2</v>
      </c>
      <c r="R7">
        <v>3</v>
      </c>
      <c r="T7" s="2">
        <f t="shared" si="1"/>
        <v>3.5</v>
      </c>
      <c r="U7" s="2">
        <v>3.625</v>
      </c>
      <c r="V7" s="2">
        <f t="shared" si="0"/>
        <v>3.5625</v>
      </c>
    </row>
    <row r="8" spans="2:22" x14ac:dyDescent="0.45">
      <c r="B8" t="s">
        <v>150</v>
      </c>
      <c r="C8">
        <v>4</v>
      </c>
      <c r="D8">
        <v>4</v>
      </c>
      <c r="E8">
        <v>4</v>
      </c>
      <c r="F8">
        <v>4</v>
      </c>
      <c r="G8">
        <v>4</v>
      </c>
      <c r="H8">
        <v>5</v>
      </c>
      <c r="I8">
        <v>3</v>
      </c>
      <c r="J8">
        <v>5</v>
      </c>
      <c r="K8">
        <v>5</v>
      </c>
      <c r="L8">
        <v>5</v>
      </c>
      <c r="M8">
        <v>4</v>
      </c>
      <c r="N8">
        <v>4</v>
      </c>
      <c r="O8">
        <v>4</v>
      </c>
      <c r="P8">
        <v>5</v>
      </c>
      <c r="Q8">
        <v>4</v>
      </c>
      <c r="R8">
        <v>5</v>
      </c>
      <c r="T8" s="2">
        <f t="shared" si="1"/>
        <v>4.25</v>
      </c>
      <c r="U8" s="2">
        <v>4.375</v>
      </c>
      <c r="V8" s="2">
        <f t="shared" si="0"/>
        <v>4.3125</v>
      </c>
    </row>
    <row r="9" spans="2:22" x14ac:dyDescent="0.45">
      <c r="B9" t="s">
        <v>151</v>
      </c>
      <c r="C9">
        <v>4</v>
      </c>
      <c r="D9">
        <v>4</v>
      </c>
      <c r="E9">
        <v>4</v>
      </c>
      <c r="F9">
        <v>4</v>
      </c>
      <c r="G9">
        <v>4</v>
      </c>
      <c r="H9">
        <v>5</v>
      </c>
      <c r="I9">
        <v>5</v>
      </c>
      <c r="J9">
        <v>4</v>
      </c>
      <c r="K9">
        <v>4</v>
      </c>
      <c r="L9">
        <v>5</v>
      </c>
      <c r="M9">
        <v>2</v>
      </c>
      <c r="N9">
        <v>3</v>
      </c>
      <c r="O9">
        <v>3</v>
      </c>
      <c r="P9">
        <v>5</v>
      </c>
      <c r="Q9">
        <v>3</v>
      </c>
      <c r="R9">
        <v>4</v>
      </c>
      <c r="T9" s="2">
        <f t="shared" si="1"/>
        <v>4.25</v>
      </c>
      <c r="U9" s="2">
        <v>3.625</v>
      </c>
      <c r="V9" s="2">
        <f t="shared" si="0"/>
        <v>3.9375</v>
      </c>
    </row>
    <row r="10" spans="2:22" x14ac:dyDescent="0.45">
      <c r="B10" t="s">
        <v>152</v>
      </c>
      <c r="C10">
        <v>4</v>
      </c>
      <c r="D10">
        <v>4</v>
      </c>
      <c r="E10">
        <v>4</v>
      </c>
      <c r="F10">
        <v>4</v>
      </c>
      <c r="G10">
        <v>5</v>
      </c>
      <c r="H10">
        <v>5</v>
      </c>
      <c r="I10">
        <v>4</v>
      </c>
      <c r="J10">
        <v>4</v>
      </c>
      <c r="K10">
        <v>4</v>
      </c>
      <c r="L10">
        <v>5</v>
      </c>
      <c r="M10">
        <v>4</v>
      </c>
      <c r="N10">
        <v>4</v>
      </c>
      <c r="O10">
        <v>5</v>
      </c>
      <c r="P10">
        <v>5</v>
      </c>
      <c r="Q10">
        <v>2</v>
      </c>
      <c r="R10">
        <v>2</v>
      </c>
      <c r="T10" s="2">
        <f t="shared" si="1"/>
        <v>3.875</v>
      </c>
      <c r="U10" s="2">
        <v>4.25</v>
      </c>
      <c r="V10" s="2">
        <f t="shared" si="0"/>
        <v>4.0625</v>
      </c>
    </row>
    <row r="11" spans="2:22" x14ac:dyDescent="0.45">
      <c r="B11" t="s">
        <v>78</v>
      </c>
      <c r="C11">
        <v>4</v>
      </c>
      <c r="D11">
        <v>4</v>
      </c>
      <c r="E11">
        <v>4</v>
      </c>
      <c r="F11">
        <v>4</v>
      </c>
      <c r="G11">
        <v>4</v>
      </c>
      <c r="H11">
        <v>5</v>
      </c>
      <c r="I11">
        <v>5</v>
      </c>
      <c r="J11">
        <v>5</v>
      </c>
      <c r="K11">
        <v>4</v>
      </c>
      <c r="L11">
        <v>5</v>
      </c>
      <c r="M11">
        <v>5</v>
      </c>
      <c r="N11">
        <v>4</v>
      </c>
      <c r="O11">
        <v>4</v>
      </c>
      <c r="P11">
        <v>5</v>
      </c>
      <c r="Q11">
        <v>2</v>
      </c>
      <c r="R11">
        <v>5</v>
      </c>
      <c r="T11" s="2">
        <f t="shared" si="1"/>
        <v>4.25</v>
      </c>
      <c r="U11" s="2">
        <v>4.375</v>
      </c>
      <c r="V11" s="2">
        <f t="shared" si="0"/>
        <v>4.3125</v>
      </c>
    </row>
    <row r="12" spans="2:22" x14ac:dyDescent="0.45">
      <c r="B12" t="s">
        <v>79</v>
      </c>
      <c r="C12">
        <v>3</v>
      </c>
      <c r="D12">
        <v>4</v>
      </c>
      <c r="E12">
        <v>3</v>
      </c>
      <c r="F12">
        <v>4</v>
      </c>
      <c r="G12">
        <v>5</v>
      </c>
      <c r="H12">
        <v>4</v>
      </c>
      <c r="I12">
        <v>4</v>
      </c>
      <c r="J12">
        <v>5</v>
      </c>
      <c r="K12">
        <v>3</v>
      </c>
      <c r="L12">
        <v>5</v>
      </c>
      <c r="M12">
        <v>4</v>
      </c>
      <c r="N12">
        <v>5</v>
      </c>
      <c r="O12">
        <v>5</v>
      </c>
      <c r="P12">
        <v>5</v>
      </c>
      <c r="Q12">
        <v>4</v>
      </c>
      <c r="R12">
        <v>3</v>
      </c>
      <c r="T12" s="2">
        <f t="shared" si="1"/>
        <v>4.125</v>
      </c>
      <c r="U12" s="2">
        <v>4.125</v>
      </c>
      <c r="V12" s="2">
        <f t="shared" si="0"/>
        <v>4.125</v>
      </c>
    </row>
    <row r="13" spans="2:22" x14ac:dyDescent="0.45">
      <c r="B13" t="s">
        <v>80</v>
      </c>
      <c r="C13">
        <v>4</v>
      </c>
      <c r="D13">
        <v>4</v>
      </c>
      <c r="E13">
        <v>4</v>
      </c>
      <c r="F13">
        <v>3</v>
      </c>
      <c r="G13">
        <v>5</v>
      </c>
      <c r="H13">
        <v>5</v>
      </c>
      <c r="I13">
        <v>5</v>
      </c>
      <c r="J13">
        <v>5</v>
      </c>
      <c r="K13">
        <v>4</v>
      </c>
      <c r="L13">
        <v>5</v>
      </c>
      <c r="M13">
        <v>5</v>
      </c>
      <c r="N13">
        <v>4</v>
      </c>
      <c r="O13">
        <v>5</v>
      </c>
      <c r="P13">
        <v>5</v>
      </c>
      <c r="Q13">
        <v>2</v>
      </c>
      <c r="R13">
        <v>3</v>
      </c>
      <c r="T13" s="2">
        <f t="shared" si="1"/>
        <v>4</v>
      </c>
      <c r="U13" s="2">
        <v>4.5</v>
      </c>
      <c r="V13" s="2">
        <f t="shared" si="0"/>
        <v>4.25</v>
      </c>
    </row>
    <row r="14" spans="2:22" x14ac:dyDescent="0.45">
      <c r="B14" t="s">
        <v>81</v>
      </c>
      <c r="C14">
        <v>3</v>
      </c>
      <c r="D14">
        <v>4</v>
      </c>
      <c r="E14">
        <v>3</v>
      </c>
      <c r="F14">
        <v>3</v>
      </c>
      <c r="G14">
        <v>3</v>
      </c>
      <c r="H14">
        <v>5</v>
      </c>
      <c r="I14">
        <v>4</v>
      </c>
      <c r="J14">
        <v>3</v>
      </c>
      <c r="K14">
        <v>3</v>
      </c>
      <c r="L14">
        <v>5</v>
      </c>
      <c r="M14">
        <v>4</v>
      </c>
      <c r="N14">
        <v>3</v>
      </c>
      <c r="O14">
        <v>4</v>
      </c>
      <c r="P14">
        <v>5</v>
      </c>
      <c r="Q14">
        <v>3</v>
      </c>
      <c r="R14">
        <v>3</v>
      </c>
      <c r="T14" s="2">
        <f t="shared" si="1"/>
        <v>3.625</v>
      </c>
      <c r="U14" s="2">
        <v>3.625</v>
      </c>
      <c r="V14" s="2">
        <f t="shared" si="0"/>
        <v>3.625</v>
      </c>
    </row>
    <row r="15" spans="2:22" x14ac:dyDescent="0.45">
      <c r="B15" t="s">
        <v>100</v>
      </c>
      <c r="C15">
        <v>9</v>
      </c>
      <c r="D15">
        <v>6</v>
      </c>
      <c r="E15">
        <v>7</v>
      </c>
      <c r="F15">
        <v>6</v>
      </c>
      <c r="G15">
        <v>8</v>
      </c>
      <c r="H15">
        <v>7</v>
      </c>
      <c r="I15">
        <v>8</v>
      </c>
      <c r="J15">
        <v>3</v>
      </c>
      <c r="K15">
        <v>4</v>
      </c>
      <c r="L15">
        <v>9</v>
      </c>
      <c r="M15">
        <v>8</v>
      </c>
      <c r="N15">
        <v>7</v>
      </c>
      <c r="O15">
        <v>7</v>
      </c>
      <c r="P15">
        <v>6</v>
      </c>
      <c r="Q15">
        <v>4</v>
      </c>
      <c r="R15">
        <v>6</v>
      </c>
      <c r="T15" s="2">
        <f t="shared" si="1"/>
        <v>6.75</v>
      </c>
      <c r="U15" s="2">
        <v>6.375</v>
      </c>
      <c r="V15" s="2">
        <f t="shared" si="0"/>
        <v>6.5625</v>
      </c>
    </row>
    <row r="16" spans="2:22" x14ac:dyDescent="0.45">
      <c r="B16" t="s">
        <v>67</v>
      </c>
      <c r="C16">
        <v>5</v>
      </c>
      <c r="D16">
        <v>9</v>
      </c>
      <c r="E16">
        <v>7</v>
      </c>
      <c r="F16">
        <v>9</v>
      </c>
      <c r="G16">
        <v>8</v>
      </c>
      <c r="H16">
        <v>10</v>
      </c>
      <c r="I16">
        <v>8</v>
      </c>
      <c r="J16">
        <v>9</v>
      </c>
      <c r="K16">
        <v>7</v>
      </c>
      <c r="L16">
        <v>10</v>
      </c>
      <c r="M16">
        <v>7</v>
      </c>
      <c r="N16">
        <v>7</v>
      </c>
      <c r="O16">
        <v>8</v>
      </c>
      <c r="P16">
        <v>10</v>
      </c>
      <c r="Q16">
        <v>7</v>
      </c>
      <c r="R16">
        <v>7</v>
      </c>
      <c r="T16" s="2">
        <f t="shared" ref="T16" si="2">2*V16-U16</f>
        <v>8.25</v>
      </c>
      <c r="U16" s="2">
        <v>7.75</v>
      </c>
      <c r="V16" s="2">
        <f t="shared" si="0"/>
        <v>8</v>
      </c>
    </row>
    <row r="18" spans="2:30" x14ac:dyDescent="0.45">
      <c r="C18" t="s">
        <v>51</v>
      </c>
      <c r="D18" t="s">
        <v>51</v>
      </c>
      <c r="E18" t="s">
        <v>51</v>
      </c>
      <c r="F18" t="s">
        <v>51</v>
      </c>
      <c r="G18" t="s">
        <v>51</v>
      </c>
      <c r="H18" t="s">
        <v>51</v>
      </c>
      <c r="I18" t="s">
        <v>51</v>
      </c>
      <c r="J18" t="s">
        <v>51</v>
      </c>
      <c r="T18" s="14" t="s">
        <v>190</v>
      </c>
      <c r="U18" s="14"/>
      <c r="V18" s="14"/>
      <c r="W18" s="14"/>
      <c r="X18" s="14"/>
      <c r="Y18" s="14"/>
      <c r="Z18" s="14"/>
      <c r="AA18" s="14"/>
      <c r="AB18" s="9" t="s">
        <v>154</v>
      </c>
      <c r="AC18" s="9" t="s">
        <v>153</v>
      </c>
      <c r="AD18" s="9" t="s">
        <v>155</v>
      </c>
    </row>
    <row r="19" spans="2:30" x14ac:dyDescent="0.45">
      <c r="B19">
        <f>_xlfn.T.TEST(C13:R13,C14:R14,2,1)</f>
        <v>7.3042627689899565E-3</v>
      </c>
      <c r="C19">
        <v>4</v>
      </c>
      <c r="D19">
        <v>4</v>
      </c>
      <c r="E19">
        <v>4</v>
      </c>
      <c r="F19">
        <v>4</v>
      </c>
      <c r="G19">
        <v>2</v>
      </c>
      <c r="H19">
        <v>3</v>
      </c>
      <c r="I19">
        <v>2</v>
      </c>
      <c r="J19">
        <v>4</v>
      </c>
      <c r="K19">
        <f>_xlfn.T.TEST(C19:J19,C35:J35,2,2)</f>
        <v>0.74382233770512896</v>
      </c>
      <c r="L19">
        <f>AVERAGE(C19:J19)</f>
        <v>3.375</v>
      </c>
      <c r="T19" s="10" t="s">
        <v>71</v>
      </c>
      <c r="U19" s="10"/>
      <c r="V19" s="10"/>
      <c r="W19" s="10"/>
      <c r="X19" s="10"/>
      <c r="Y19" s="10"/>
      <c r="Z19" s="10"/>
      <c r="AA19" s="10"/>
      <c r="AB19" s="3">
        <v>3.5</v>
      </c>
      <c r="AC19" s="3">
        <v>3.375</v>
      </c>
      <c r="AD19" s="3">
        <v>3.4375</v>
      </c>
    </row>
    <row r="20" spans="2:30" x14ac:dyDescent="0.45">
      <c r="B20">
        <f>_xlfn.T.TEST(C11:R11,C12:R12,2,1)</f>
        <v>0.48471664294899131</v>
      </c>
      <c r="C20">
        <v>4</v>
      </c>
      <c r="D20">
        <v>4</v>
      </c>
      <c r="E20">
        <v>4</v>
      </c>
      <c r="F20">
        <v>4</v>
      </c>
      <c r="G20">
        <v>4</v>
      </c>
      <c r="H20">
        <v>4</v>
      </c>
      <c r="I20">
        <v>4</v>
      </c>
      <c r="J20">
        <v>5</v>
      </c>
      <c r="K20">
        <f t="shared" ref="K20:K31" si="3">_xlfn.T.TEST(C20:J20,C36:J36,2,2)</f>
        <v>0.58986732091623639</v>
      </c>
      <c r="L20">
        <f t="shared" ref="L20:L31" si="4">AVERAGE(C20:J20)</f>
        <v>4.125</v>
      </c>
      <c r="T20" s="10" t="s">
        <v>72</v>
      </c>
      <c r="U20" s="10"/>
      <c r="V20" s="10"/>
      <c r="W20" s="10"/>
      <c r="X20" s="10"/>
      <c r="Y20" s="10"/>
      <c r="Z20" s="10"/>
      <c r="AA20" s="10"/>
      <c r="AB20" s="3">
        <v>4</v>
      </c>
      <c r="AC20" s="3">
        <v>4.125</v>
      </c>
      <c r="AD20" s="3">
        <v>4.0625</v>
      </c>
    </row>
    <row r="21" spans="2:30" x14ac:dyDescent="0.45">
      <c r="B21" t="e" cm="1" vm="1">
        <f t="array" aca="1" ref="B21" ca="1">C13:R13+simplified_evaluation!AR11</f>
        <v>#VALUE!</v>
      </c>
      <c r="C21">
        <v>4</v>
      </c>
      <c r="D21">
        <v>4</v>
      </c>
      <c r="E21">
        <v>4</v>
      </c>
      <c r="F21">
        <v>2</v>
      </c>
      <c r="G21">
        <v>3</v>
      </c>
      <c r="H21">
        <v>4</v>
      </c>
      <c r="I21">
        <v>4</v>
      </c>
      <c r="J21">
        <v>4</v>
      </c>
      <c r="K21">
        <f t="shared" si="3"/>
        <v>0.79000785975525223</v>
      </c>
      <c r="L21">
        <f t="shared" si="4"/>
        <v>3.625</v>
      </c>
      <c r="T21" s="10" t="s">
        <v>156</v>
      </c>
      <c r="U21" s="10"/>
      <c r="V21" s="10"/>
      <c r="W21" s="10"/>
      <c r="X21" s="10"/>
      <c r="Y21" s="10"/>
      <c r="Z21" s="10"/>
      <c r="AA21" s="10"/>
      <c r="AB21" s="3">
        <v>3.5</v>
      </c>
      <c r="AC21" s="3">
        <v>3.625</v>
      </c>
      <c r="AD21" s="3">
        <v>3.5625</v>
      </c>
    </row>
    <row r="22" spans="2:30" x14ac:dyDescent="0.45">
      <c r="C22">
        <v>4</v>
      </c>
      <c r="D22">
        <v>4</v>
      </c>
      <c r="E22">
        <v>5</v>
      </c>
      <c r="F22">
        <v>2</v>
      </c>
      <c r="G22">
        <v>3</v>
      </c>
      <c r="H22">
        <v>4</v>
      </c>
      <c r="I22">
        <v>3</v>
      </c>
      <c r="J22">
        <v>4</v>
      </c>
      <c r="K22">
        <f t="shared" si="3"/>
        <v>0.80536690979119652</v>
      </c>
      <c r="L22">
        <f t="shared" si="4"/>
        <v>3.625</v>
      </c>
      <c r="T22" s="10" t="s">
        <v>74</v>
      </c>
      <c r="U22" s="10"/>
      <c r="V22" s="10"/>
      <c r="W22" s="10"/>
      <c r="X22" s="10"/>
      <c r="Y22" s="10"/>
      <c r="Z22" s="10"/>
      <c r="AA22" s="10"/>
      <c r="AB22" s="3">
        <v>3.5</v>
      </c>
      <c r="AC22" s="3">
        <v>3.625</v>
      </c>
      <c r="AD22" s="3">
        <v>3.5625</v>
      </c>
    </row>
    <row r="23" spans="2:30" x14ac:dyDescent="0.45">
      <c r="C23">
        <v>4</v>
      </c>
      <c r="D23">
        <v>4</v>
      </c>
      <c r="E23">
        <v>5</v>
      </c>
      <c r="F23">
        <v>5</v>
      </c>
      <c r="G23">
        <v>5</v>
      </c>
      <c r="H23">
        <v>4</v>
      </c>
      <c r="I23">
        <v>4</v>
      </c>
      <c r="J23">
        <v>4</v>
      </c>
      <c r="K23">
        <f t="shared" si="3"/>
        <v>0.69269497914005784</v>
      </c>
      <c r="L23">
        <f t="shared" si="4"/>
        <v>4.375</v>
      </c>
      <c r="T23" s="10" t="s">
        <v>150</v>
      </c>
      <c r="U23" s="10"/>
      <c r="V23" s="10"/>
      <c r="W23" s="10"/>
      <c r="X23" s="10"/>
      <c r="Y23" s="10"/>
      <c r="Z23" s="10"/>
      <c r="AA23" s="10"/>
      <c r="AB23" s="3">
        <v>4.25</v>
      </c>
      <c r="AC23" s="3">
        <v>4.375</v>
      </c>
      <c r="AD23" s="3">
        <v>4.3125</v>
      </c>
    </row>
    <row r="24" spans="2:30" x14ac:dyDescent="0.45">
      <c r="C24">
        <v>4</v>
      </c>
      <c r="D24">
        <v>4</v>
      </c>
      <c r="E24">
        <v>5</v>
      </c>
      <c r="F24">
        <v>4</v>
      </c>
      <c r="G24">
        <v>4</v>
      </c>
      <c r="H24">
        <v>2</v>
      </c>
      <c r="I24">
        <v>3</v>
      </c>
      <c r="J24">
        <v>3</v>
      </c>
      <c r="K24">
        <f t="shared" si="3"/>
        <v>0.14890387474453967</v>
      </c>
      <c r="L24">
        <f t="shared" si="4"/>
        <v>3.625</v>
      </c>
      <c r="T24" s="10" t="s">
        <v>151</v>
      </c>
      <c r="U24" s="10"/>
      <c r="V24" s="10"/>
      <c r="W24" s="10"/>
      <c r="X24" s="10"/>
      <c r="Y24" s="10"/>
      <c r="Z24" s="10"/>
      <c r="AA24" s="10"/>
      <c r="AB24" s="3">
        <v>4.25</v>
      </c>
      <c r="AC24" s="3">
        <v>3.625</v>
      </c>
      <c r="AD24" s="3">
        <v>3.9375</v>
      </c>
    </row>
    <row r="25" spans="2:30" x14ac:dyDescent="0.45">
      <c r="C25">
        <v>4</v>
      </c>
      <c r="D25">
        <v>4</v>
      </c>
      <c r="E25">
        <v>5</v>
      </c>
      <c r="F25">
        <v>4</v>
      </c>
      <c r="G25">
        <v>4</v>
      </c>
      <c r="H25">
        <v>4</v>
      </c>
      <c r="I25">
        <v>4</v>
      </c>
      <c r="J25">
        <v>5</v>
      </c>
      <c r="K25">
        <f t="shared" si="3"/>
        <v>0.43835252673880332</v>
      </c>
      <c r="L25">
        <f t="shared" si="4"/>
        <v>4.25</v>
      </c>
      <c r="T25" s="10" t="s">
        <v>152</v>
      </c>
      <c r="U25" s="10"/>
      <c r="V25" s="10"/>
      <c r="W25" s="10"/>
      <c r="X25" s="10"/>
      <c r="Y25" s="10"/>
      <c r="Z25" s="10"/>
      <c r="AA25" s="10"/>
      <c r="AB25" s="3">
        <v>3.875</v>
      </c>
      <c r="AC25" s="3">
        <v>4.25</v>
      </c>
      <c r="AD25" s="3">
        <v>4.0625</v>
      </c>
    </row>
    <row r="26" spans="2:30" x14ac:dyDescent="0.45">
      <c r="C26">
        <v>4</v>
      </c>
      <c r="D26">
        <v>4</v>
      </c>
      <c r="E26">
        <v>5</v>
      </c>
      <c r="F26">
        <v>5</v>
      </c>
      <c r="G26">
        <v>4</v>
      </c>
      <c r="H26">
        <v>5</v>
      </c>
      <c r="I26">
        <v>4</v>
      </c>
      <c r="J26">
        <v>4</v>
      </c>
      <c r="K26">
        <f t="shared" si="3"/>
        <v>0.76447676174719004</v>
      </c>
      <c r="L26">
        <f t="shared" si="4"/>
        <v>4.375</v>
      </c>
      <c r="T26" s="10" t="s">
        <v>78</v>
      </c>
      <c r="U26" s="10"/>
      <c r="V26" s="10"/>
      <c r="W26" s="10"/>
      <c r="X26" s="10"/>
      <c r="Y26" s="10"/>
      <c r="Z26" s="10"/>
      <c r="AA26" s="10"/>
      <c r="AB26" s="3">
        <v>4.25</v>
      </c>
      <c r="AC26" s="3">
        <v>4.375</v>
      </c>
      <c r="AD26" s="3">
        <v>4.3125</v>
      </c>
    </row>
    <row r="27" spans="2:30" x14ac:dyDescent="0.45">
      <c r="C27">
        <v>3</v>
      </c>
      <c r="D27">
        <v>4</v>
      </c>
      <c r="E27">
        <v>4</v>
      </c>
      <c r="F27">
        <v>5</v>
      </c>
      <c r="G27">
        <v>3</v>
      </c>
      <c r="H27">
        <v>4</v>
      </c>
      <c r="I27">
        <v>5</v>
      </c>
      <c r="J27">
        <v>5</v>
      </c>
      <c r="K27">
        <f t="shared" si="3"/>
        <v>1</v>
      </c>
      <c r="L27">
        <f t="shared" si="4"/>
        <v>4.125</v>
      </c>
      <c r="T27" s="10" t="s">
        <v>79</v>
      </c>
      <c r="U27" s="10"/>
      <c r="V27" s="10"/>
      <c r="W27" s="10"/>
      <c r="X27" s="10"/>
      <c r="Y27" s="10"/>
      <c r="Z27" s="10"/>
      <c r="AA27" s="10"/>
      <c r="AB27" s="3">
        <v>4.125</v>
      </c>
      <c r="AC27" s="3">
        <v>4.125</v>
      </c>
      <c r="AD27" s="3">
        <v>4.125</v>
      </c>
    </row>
    <row r="28" spans="2:30" x14ac:dyDescent="0.45">
      <c r="C28">
        <v>4</v>
      </c>
      <c r="D28">
        <v>4</v>
      </c>
      <c r="E28">
        <v>5</v>
      </c>
      <c r="F28">
        <v>5</v>
      </c>
      <c r="G28">
        <v>4</v>
      </c>
      <c r="H28">
        <v>5</v>
      </c>
      <c r="I28">
        <v>4</v>
      </c>
      <c r="J28">
        <v>5</v>
      </c>
      <c r="K28">
        <f t="shared" si="3"/>
        <v>0.29834400111618625</v>
      </c>
      <c r="L28">
        <f t="shared" si="4"/>
        <v>4.5</v>
      </c>
      <c r="T28" s="10" t="s">
        <v>80</v>
      </c>
      <c r="U28" s="10"/>
      <c r="V28" s="10"/>
      <c r="W28" s="10"/>
      <c r="X28" s="10"/>
      <c r="Y28" s="10"/>
      <c r="Z28" s="10"/>
      <c r="AA28" s="10"/>
      <c r="AB28" s="3">
        <v>4</v>
      </c>
      <c r="AC28" s="3">
        <v>4.5</v>
      </c>
      <c r="AD28" s="3">
        <v>4.25</v>
      </c>
    </row>
    <row r="29" spans="2:30" x14ac:dyDescent="0.45">
      <c r="C29">
        <v>3</v>
      </c>
      <c r="D29">
        <v>4</v>
      </c>
      <c r="E29">
        <v>5</v>
      </c>
      <c r="F29">
        <v>3</v>
      </c>
      <c r="G29">
        <v>3</v>
      </c>
      <c r="H29">
        <v>4</v>
      </c>
      <c r="I29">
        <v>3</v>
      </c>
      <c r="J29">
        <v>4</v>
      </c>
      <c r="K29">
        <f t="shared" si="3"/>
        <v>1</v>
      </c>
      <c r="L29">
        <f t="shared" si="4"/>
        <v>3.625</v>
      </c>
      <c r="T29" s="10" t="s">
        <v>81</v>
      </c>
      <c r="U29" s="10"/>
      <c r="V29" s="10"/>
      <c r="W29" s="10"/>
      <c r="X29" s="10"/>
      <c r="Y29" s="10"/>
      <c r="Z29" s="10"/>
      <c r="AA29" s="10"/>
      <c r="AB29" s="3">
        <v>3.625</v>
      </c>
      <c r="AC29" s="3">
        <v>3.625</v>
      </c>
      <c r="AD29" s="3">
        <v>3.625</v>
      </c>
    </row>
    <row r="30" spans="2:30" x14ac:dyDescent="0.45">
      <c r="C30">
        <v>9</v>
      </c>
      <c r="D30">
        <v>6</v>
      </c>
      <c r="E30">
        <v>7</v>
      </c>
      <c r="F30">
        <v>3</v>
      </c>
      <c r="G30">
        <v>4</v>
      </c>
      <c r="H30">
        <v>8</v>
      </c>
      <c r="I30">
        <v>7</v>
      </c>
      <c r="J30">
        <v>7</v>
      </c>
      <c r="K30">
        <f t="shared" si="3"/>
        <v>0.68328934909765371</v>
      </c>
      <c r="L30">
        <f t="shared" si="4"/>
        <v>6.375</v>
      </c>
    </row>
    <row r="31" spans="2:30" x14ac:dyDescent="0.45">
      <c r="C31">
        <v>5</v>
      </c>
      <c r="D31">
        <v>9</v>
      </c>
      <c r="E31">
        <v>10</v>
      </c>
      <c r="F31">
        <v>9</v>
      </c>
      <c r="G31">
        <v>7</v>
      </c>
      <c r="H31">
        <v>7</v>
      </c>
      <c r="I31">
        <v>7</v>
      </c>
      <c r="J31">
        <v>8</v>
      </c>
      <c r="K31">
        <f t="shared" si="3"/>
        <v>0.49854531882930031</v>
      </c>
      <c r="L31">
        <f t="shared" si="4"/>
        <v>7.75</v>
      </c>
    </row>
    <row r="32" spans="2:30" x14ac:dyDescent="0.45">
      <c r="T32" s="11" t="s">
        <v>189</v>
      </c>
      <c r="U32" s="12"/>
      <c r="V32" s="12"/>
      <c r="W32" s="12"/>
      <c r="X32" s="12"/>
      <c r="Y32" s="12"/>
      <c r="Z32" s="12"/>
      <c r="AA32" s="13"/>
      <c r="AB32" s="9" t="s">
        <v>154</v>
      </c>
      <c r="AC32" s="9" t="s">
        <v>153</v>
      </c>
      <c r="AD32" s="9" t="s">
        <v>155</v>
      </c>
    </row>
    <row r="33" spans="3:30" x14ac:dyDescent="0.45">
      <c r="T33" s="10" t="s">
        <v>157</v>
      </c>
      <c r="U33" s="10"/>
      <c r="V33" s="10"/>
      <c r="W33" s="10"/>
      <c r="X33" s="10"/>
      <c r="Y33" s="10"/>
      <c r="Z33" s="10"/>
      <c r="AA33" s="10"/>
      <c r="AB33" s="3">
        <v>6.75</v>
      </c>
      <c r="AC33" s="3">
        <v>6.375</v>
      </c>
      <c r="AD33" s="3">
        <v>6.5625</v>
      </c>
    </row>
    <row r="34" spans="3:30" x14ac:dyDescent="0.45">
      <c r="C34" t="s">
        <v>52</v>
      </c>
      <c r="D34" t="s">
        <v>52</v>
      </c>
      <c r="E34" t="s">
        <v>52</v>
      </c>
      <c r="F34" t="s">
        <v>52</v>
      </c>
      <c r="G34" t="s">
        <v>52</v>
      </c>
      <c r="H34" t="s">
        <v>52</v>
      </c>
      <c r="I34" t="s">
        <v>52</v>
      </c>
      <c r="J34" t="s">
        <v>52</v>
      </c>
      <c r="T34" s="5" t="s">
        <v>67</v>
      </c>
      <c r="U34" s="5"/>
      <c r="V34" s="5"/>
      <c r="W34" s="5"/>
      <c r="X34" s="5"/>
      <c r="Y34" s="5"/>
      <c r="Z34" s="5"/>
      <c r="AA34" s="5"/>
      <c r="AB34" s="3">
        <v>8.25</v>
      </c>
      <c r="AC34" s="3">
        <v>7.75</v>
      </c>
      <c r="AD34" s="3">
        <v>8</v>
      </c>
    </row>
    <row r="35" spans="3:30" x14ac:dyDescent="0.45">
      <c r="C35">
        <v>4</v>
      </c>
      <c r="D35">
        <v>4</v>
      </c>
      <c r="E35">
        <v>3</v>
      </c>
      <c r="F35">
        <v>3</v>
      </c>
      <c r="G35">
        <v>4</v>
      </c>
      <c r="H35">
        <v>3</v>
      </c>
      <c r="I35">
        <v>4</v>
      </c>
      <c r="J35">
        <v>3</v>
      </c>
    </row>
    <row r="36" spans="3:30" x14ac:dyDescent="0.45">
      <c r="C36">
        <v>4</v>
      </c>
      <c r="D36">
        <v>4</v>
      </c>
      <c r="E36">
        <v>4</v>
      </c>
      <c r="F36">
        <v>4</v>
      </c>
      <c r="G36">
        <v>4</v>
      </c>
      <c r="H36">
        <v>5</v>
      </c>
      <c r="I36">
        <v>3</v>
      </c>
      <c r="J36">
        <v>4</v>
      </c>
    </row>
    <row r="37" spans="3:30" x14ac:dyDescent="0.45">
      <c r="C37">
        <v>3</v>
      </c>
      <c r="D37">
        <v>3</v>
      </c>
      <c r="E37">
        <v>2</v>
      </c>
      <c r="F37">
        <v>5</v>
      </c>
      <c r="G37">
        <v>5</v>
      </c>
      <c r="H37">
        <v>3</v>
      </c>
      <c r="I37">
        <v>3</v>
      </c>
      <c r="J37">
        <v>4</v>
      </c>
    </row>
    <row r="38" spans="3:30" x14ac:dyDescent="0.45">
      <c r="C38">
        <v>3</v>
      </c>
      <c r="D38">
        <v>4</v>
      </c>
      <c r="E38">
        <v>3</v>
      </c>
      <c r="F38">
        <v>5</v>
      </c>
      <c r="G38">
        <v>5</v>
      </c>
      <c r="H38">
        <v>3</v>
      </c>
      <c r="I38">
        <v>2</v>
      </c>
      <c r="J38">
        <v>3</v>
      </c>
    </row>
    <row r="39" spans="3:30" x14ac:dyDescent="0.45">
      <c r="C39">
        <v>4</v>
      </c>
      <c r="D39">
        <v>4</v>
      </c>
      <c r="E39">
        <v>4</v>
      </c>
      <c r="F39">
        <v>3</v>
      </c>
      <c r="G39">
        <v>5</v>
      </c>
      <c r="H39">
        <v>5</v>
      </c>
      <c r="I39">
        <v>4</v>
      </c>
      <c r="J39">
        <v>5</v>
      </c>
    </row>
    <row r="40" spans="3:30" x14ac:dyDescent="0.45">
      <c r="C40">
        <v>4</v>
      </c>
      <c r="D40">
        <v>4</v>
      </c>
      <c r="E40">
        <v>4</v>
      </c>
      <c r="F40">
        <v>5</v>
      </c>
      <c r="G40">
        <v>5</v>
      </c>
      <c r="H40">
        <v>5</v>
      </c>
      <c r="I40">
        <v>3</v>
      </c>
      <c r="J40">
        <v>4</v>
      </c>
    </row>
    <row r="41" spans="3:30" x14ac:dyDescent="0.45">
      <c r="C41">
        <v>4</v>
      </c>
      <c r="D41">
        <v>4</v>
      </c>
      <c r="E41">
        <v>5</v>
      </c>
      <c r="F41">
        <v>4</v>
      </c>
      <c r="G41">
        <v>5</v>
      </c>
      <c r="H41">
        <v>5</v>
      </c>
      <c r="I41">
        <v>2</v>
      </c>
      <c r="J41">
        <v>2</v>
      </c>
    </row>
    <row r="42" spans="3:30" x14ac:dyDescent="0.45">
      <c r="C42">
        <v>4</v>
      </c>
      <c r="D42">
        <v>4</v>
      </c>
      <c r="E42">
        <v>4</v>
      </c>
      <c r="F42">
        <v>5</v>
      </c>
      <c r="G42">
        <v>5</v>
      </c>
      <c r="H42">
        <v>5</v>
      </c>
      <c r="I42">
        <v>2</v>
      </c>
      <c r="J42">
        <v>5</v>
      </c>
    </row>
    <row r="43" spans="3:30" x14ac:dyDescent="0.45">
      <c r="C43">
        <v>3</v>
      </c>
      <c r="D43">
        <v>4</v>
      </c>
      <c r="E43">
        <v>5</v>
      </c>
      <c r="F43">
        <v>4</v>
      </c>
      <c r="G43">
        <v>5</v>
      </c>
      <c r="H43">
        <v>5</v>
      </c>
      <c r="I43">
        <v>4</v>
      </c>
      <c r="J43">
        <v>3</v>
      </c>
    </row>
    <row r="44" spans="3:30" x14ac:dyDescent="0.45">
      <c r="C44">
        <v>4</v>
      </c>
      <c r="D44">
        <v>3</v>
      </c>
      <c r="E44">
        <v>5</v>
      </c>
      <c r="F44">
        <v>5</v>
      </c>
      <c r="G44">
        <v>5</v>
      </c>
      <c r="H44">
        <v>5</v>
      </c>
      <c r="I44">
        <v>2</v>
      </c>
      <c r="J44">
        <v>3</v>
      </c>
    </row>
    <row r="45" spans="3:30" x14ac:dyDescent="0.45">
      <c r="C45">
        <v>3</v>
      </c>
      <c r="D45">
        <v>3</v>
      </c>
      <c r="E45">
        <v>3</v>
      </c>
      <c r="F45">
        <v>4</v>
      </c>
      <c r="G45">
        <v>5</v>
      </c>
      <c r="H45">
        <v>5</v>
      </c>
      <c r="I45">
        <v>3</v>
      </c>
      <c r="J45">
        <v>3</v>
      </c>
    </row>
    <row r="46" spans="3:30" x14ac:dyDescent="0.45">
      <c r="C46">
        <v>7</v>
      </c>
      <c r="D46">
        <v>6</v>
      </c>
      <c r="E46">
        <v>8</v>
      </c>
      <c r="F46">
        <v>8</v>
      </c>
      <c r="G46">
        <v>9</v>
      </c>
      <c r="H46">
        <v>6</v>
      </c>
      <c r="I46">
        <v>4</v>
      </c>
      <c r="J46">
        <v>6</v>
      </c>
    </row>
    <row r="47" spans="3:30" x14ac:dyDescent="0.45">
      <c r="C47">
        <v>7</v>
      </c>
      <c r="D47">
        <v>9</v>
      </c>
      <c r="E47">
        <v>8</v>
      </c>
      <c r="F47">
        <v>8</v>
      </c>
      <c r="G47">
        <v>10</v>
      </c>
      <c r="H47">
        <v>10</v>
      </c>
      <c r="I47">
        <v>7</v>
      </c>
      <c r="J47">
        <v>7</v>
      </c>
    </row>
  </sheetData>
  <mergeCells count="14">
    <mergeCell ref="T25:AA25"/>
    <mergeCell ref="T20:AA20"/>
    <mergeCell ref="T19:AA19"/>
    <mergeCell ref="T18:AA18"/>
    <mergeCell ref="T21:AA21"/>
    <mergeCell ref="T22:AA22"/>
    <mergeCell ref="T23:AA23"/>
    <mergeCell ref="T24:AA24"/>
    <mergeCell ref="T26:AA26"/>
    <mergeCell ref="T27:AA27"/>
    <mergeCell ref="T28:AA28"/>
    <mergeCell ref="T29:AA29"/>
    <mergeCell ref="T33:AA33"/>
    <mergeCell ref="T32:AA3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443DB-2090-4E5C-87CF-4DAEFAE6581B}">
  <dimension ref="A1:W5"/>
  <sheetViews>
    <sheetView topLeftCell="A4" workbookViewId="0">
      <selection activeCell="C17" sqref="C17"/>
    </sheetView>
  </sheetViews>
  <sheetFormatPr defaultRowHeight="14.25" x14ac:dyDescent="0.45"/>
  <sheetData>
    <row r="1" spans="1:23" x14ac:dyDescent="0.45">
      <c r="B1" t="s">
        <v>158</v>
      </c>
      <c r="C1" t="s">
        <v>159</v>
      </c>
      <c r="D1" t="s">
        <v>160</v>
      </c>
      <c r="E1" t="s">
        <v>67</v>
      </c>
      <c r="F1" t="s">
        <v>161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  <c r="L1" t="s">
        <v>162</v>
      </c>
      <c r="M1" t="s">
        <v>163</v>
      </c>
      <c r="N1" t="s">
        <v>164</v>
      </c>
      <c r="O1" t="s">
        <v>165</v>
      </c>
      <c r="P1" t="s">
        <v>166</v>
      </c>
      <c r="Q1" t="s">
        <v>167</v>
      </c>
      <c r="R1" t="s">
        <v>168</v>
      </c>
      <c r="S1" t="s">
        <v>169</v>
      </c>
      <c r="T1" t="s">
        <v>170</v>
      </c>
      <c r="U1" t="s">
        <v>171</v>
      </c>
      <c r="V1" t="s">
        <v>172</v>
      </c>
      <c r="W1" t="s">
        <v>173</v>
      </c>
    </row>
    <row r="2" spans="1:23" x14ac:dyDescent="0.45">
      <c r="A2" t="s">
        <v>174</v>
      </c>
      <c r="B2">
        <v>4</v>
      </c>
      <c r="C2">
        <v>4</v>
      </c>
      <c r="D2">
        <v>3</v>
      </c>
      <c r="E2">
        <v>8</v>
      </c>
      <c r="G2">
        <v>3</v>
      </c>
      <c r="H2">
        <v>3</v>
      </c>
      <c r="I2">
        <v>4</v>
      </c>
      <c r="J2">
        <v>5</v>
      </c>
      <c r="K2">
        <v>5</v>
      </c>
      <c r="L2">
        <v>4</v>
      </c>
      <c r="M2">
        <v>2</v>
      </c>
      <c r="N2">
        <v>4</v>
      </c>
      <c r="O2">
        <v>4</v>
      </c>
      <c r="P2">
        <v>5</v>
      </c>
      <c r="Q2">
        <v>1</v>
      </c>
      <c r="R2">
        <v>4</v>
      </c>
      <c r="S2">
        <v>2</v>
      </c>
      <c r="T2">
        <v>4</v>
      </c>
      <c r="U2">
        <v>3</v>
      </c>
      <c r="V2">
        <v>72.5</v>
      </c>
      <c r="W2" t="s">
        <v>175</v>
      </c>
    </row>
    <row r="3" spans="1:23" x14ac:dyDescent="0.45">
      <c r="A3" t="s">
        <v>176</v>
      </c>
      <c r="B3">
        <v>5</v>
      </c>
      <c r="C3">
        <v>4</v>
      </c>
      <c r="D3">
        <v>3</v>
      </c>
      <c r="E3">
        <v>8</v>
      </c>
      <c r="F3" t="s">
        <v>180</v>
      </c>
      <c r="G3">
        <v>5</v>
      </c>
      <c r="H3">
        <v>3</v>
      </c>
      <c r="I3">
        <v>5</v>
      </c>
      <c r="J3">
        <v>5</v>
      </c>
      <c r="K3">
        <v>5</v>
      </c>
      <c r="L3">
        <v>4</v>
      </c>
      <c r="M3">
        <v>2</v>
      </c>
      <c r="N3">
        <v>4</v>
      </c>
      <c r="O3">
        <v>1</v>
      </c>
      <c r="P3">
        <v>4</v>
      </c>
      <c r="Q3">
        <v>2</v>
      </c>
      <c r="R3">
        <v>4</v>
      </c>
      <c r="S3">
        <v>1</v>
      </c>
      <c r="T3">
        <v>4</v>
      </c>
      <c r="U3">
        <v>2</v>
      </c>
      <c r="V3">
        <v>80</v>
      </c>
      <c r="W3" t="s">
        <v>177</v>
      </c>
    </row>
    <row r="4" spans="1:23" x14ac:dyDescent="0.45">
      <c r="B4">
        <f>AVERAGE(B2:B3)</f>
        <v>4.5</v>
      </c>
      <c r="C4">
        <f t="shared" ref="C4:V4" si="0">AVERAGE(C2:C3)</f>
        <v>4</v>
      </c>
      <c r="D4">
        <f t="shared" si="0"/>
        <v>3</v>
      </c>
      <c r="E4">
        <f t="shared" si="0"/>
        <v>8</v>
      </c>
      <c r="G4">
        <f t="shared" si="0"/>
        <v>4</v>
      </c>
      <c r="H4">
        <f t="shared" si="0"/>
        <v>3</v>
      </c>
      <c r="I4">
        <f t="shared" si="0"/>
        <v>4.5</v>
      </c>
      <c r="J4">
        <f t="shared" si="0"/>
        <v>5</v>
      </c>
      <c r="K4">
        <f t="shared" si="0"/>
        <v>5</v>
      </c>
      <c r="L4">
        <f t="shared" si="0"/>
        <v>4</v>
      </c>
      <c r="M4">
        <f t="shared" si="0"/>
        <v>2</v>
      </c>
      <c r="N4">
        <f t="shared" si="0"/>
        <v>4</v>
      </c>
      <c r="O4">
        <f t="shared" si="0"/>
        <v>2.5</v>
      </c>
      <c r="P4">
        <f t="shared" si="0"/>
        <v>4.5</v>
      </c>
      <c r="Q4">
        <f t="shared" si="0"/>
        <v>1.5</v>
      </c>
      <c r="R4">
        <f t="shared" si="0"/>
        <v>4</v>
      </c>
      <c r="S4">
        <f t="shared" si="0"/>
        <v>1.5</v>
      </c>
      <c r="T4">
        <f t="shared" si="0"/>
        <v>4</v>
      </c>
      <c r="U4">
        <f t="shared" si="0"/>
        <v>2.5</v>
      </c>
      <c r="V4">
        <f t="shared" si="0"/>
        <v>76.25</v>
      </c>
      <c r="W4" t="s">
        <v>178</v>
      </c>
    </row>
    <row r="5" spans="1:23" x14ac:dyDescent="0.45">
      <c r="W5" t="s">
        <v>179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22058-1A19-4C3F-BC09-88E961A497DD}">
  <dimension ref="E6:O36"/>
  <sheetViews>
    <sheetView tabSelected="1" topLeftCell="D19" workbookViewId="0">
      <selection activeCell="J35" sqref="J35"/>
    </sheetView>
  </sheetViews>
  <sheetFormatPr defaultRowHeight="14.25" x14ac:dyDescent="0.45"/>
  <cols>
    <col min="5" max="5" width="76.73046875" customWidth="1"/>
    <col min="6" max="6" width="11.59765625" customWidth="1"/>
    <col min="7" max="15" width="13.33203125" bestFit="1" customWidth="1"/>
  </cols>
  <sheetData>
    <row r="6" spans="5:7" x14ac:dyDescent="0.45">
      <c r="E6" s="8" t="s">
        <v>189</v>
      </c>
      <c r="F6" s="8" t="s">
        <v>182</v>
      </c>
      <c r="G6" s="8" t="s">
        <v>187</v>
      </c>
    </row>
    <row r="7" spans="5:7" x14ac:dyDescent="0.45">
      <c r="E7" s="6" t="s">
        <v>70</v>
      </c>
      <c r="F7" s="7" t="s">
        <v>183</v>
      </c>
      <c r="G7" s="4">
        <v>4</v>
      </c>
    </row>
    <row r="8" spans="5:7" x14ac:dyDescent="0.45">
      <c r="E8" s="6" t="s">
        <v>71</v>
      </c>
      <c r="F8" s="7" t="s">
        <v>183</v>
      </c>
      <c r="G8" s="4">
        <v>3</v>
      </c>
    </row>
    <row r="9" spans="5:7" x14ac:dyDescent="0.45">
      <c r="E9" s="6" t="s">
        <v>72</v>
      </c>
      <c r="F9" s="7" t="s">
        <v>183</v>
      </c>
      <c r="G9" s="4">
        <v>4.5</v>
      </c>
    </row>
    <row r="10" spans="5:7" x14ac:dyDescent="0.45">
      <c r="E10" s="6" t="s">
        <v>181</v>
      </c>
      <c r="F10" s="7" t="s">
        <v>183</v>
      </c>
      <c r="G10" s="4">
        <v>5</v>
      </c>
    </row>
    <row r="11" spans="5:7" x14ac:dyDescent="0.45">
      <c r="E11" s="6" t="s">
        <v>74</v>
      </c>
      <c r="F11" s="7" t="s">
        <v>183</v>
      </c>
      <c r="G11" s="4">
        <v>5</v>
      </c>
    </row>
    <row r="12" spans="5:7" x14ac:dyDescent="0.45">
      <c r="E12" s="6" t="s">
        <v>67</v>
      </c>
      <c r="F12" s="7" t="s">
        <v>184</v>
      </c>
      <c r="G12" s="4">
        <v>8</v>
      </c>
    </row>
    <row r="13" spans="5:7" x14ac:dyDescent="0.45">
      <c r="E13" s="6" t="s">
        <v>186</v>
      </c>
      <c r="F13" s="7" t="s">
        <v>185</v>
      </c>
      <c r="G13" s="4" t="s">
        <v>188</v>
      </c>
    </row>
    <row r="16" spans="5:7" x14ac:dyDescent="0.45">
      <c r="F16" s="15" t="s">
        <v>191</v>
      </c>
    </row>
    <row r="18" spans="5:9" x14ac:dyDescent="0.45">
      <c r="E18">
        <v>4</v>
      </c>
      <c r="F18">
        <v>3</v>
      </c>
      <c r="G18">
        <v>4.5</v>
      </c>
    </row>
    <row r="21" spans="5:9" x14ac:dyDescent="0.45">
      <c r="E21" s="9" t="s">
        <v>190</v>
      </c>
      <c r="F21" s="9" t="s">
        <v>51</v>
      </c>
      <c r="G21" s="9" t="s">
        <v>52</v>
      </c>
      <c r="H21" s="9" t="s">
        <v>40</v>
      </c>
      <c r="I21" s="9" t="s">
        <v>155</v>
      </c>
    </row>
    <row r="22" spans="5:9" x14ac:dyDescent="0.45">
      <c r="E22" s="6" t="s">
        <v>192</v>
      </c>
      <c r="F22" s="16">
        <v>3.125</v>
      </c>
      <c r="G22" s="17">
        <v>3.375</v>
      </c>
      <c r="H22" s="16">
        <v>3.1666666666666665</v>
      </c>
      <c r="I22" s="16">
        <v>3.2272727272727271</v>
      </c>
    </row>
    <row r="23" spans="5:9" x14ac:dyDescent="0.45">
      <c r="E23" s="6" t="s">
        <v>193</v>
      </c>
      <c r="F23" s="16">
        <v>3.875</v>
      </c>
      <c r="G23" s="16">
        <v>4</v>
      </c>
      <c r="H23" s="17">
        <v>4.5</v>
      </c>
      <c r="I23" s="16">
        <v>4.0909090909090908</v>
      </c>
    </row>
    <row r="24" spans="5:9" x14ac:dyDescent="0.45">
      <c r="E24" s="6" t="s">
        <v>194</v>
      </c>
      <c r="F24" s="17">
        <v>2.125</v>
      </c>
      <c r="G24" s="16">
        <v>2.875</v>
      </c>
      <c r="H24" s="16">
        <v>3.3333333333333335</v>
      </c>
      <c r="I24" s="16">
        <v>2.7272727272727271</v>
      </c>
    </row>
    <row r="25" spans="5:9" x14ac:dyDescent="0.45">
      <c r="E25" s="6" t="s">
        <v>195</v>
      </c>
      <c r="F25" s="16">
        <v>3.5</v>
      </c>
      <c r="G25" s="17">
        <v>3.75</v>
      </c>
      <c r="H25" s="16">
        <v>3.6666666666666665</v>
      </c>
      <c r="I25" s="16">
        <v>3.6363636363636362</v>
      </c>
    </row>
    <row r="26" spans="5:9" x14ac:dyDescent="0.45">
      <c r="E26" s="6" t="s">
        <v>196</v>
      </c>
      <c r="F26" s="16">
        <v>2</v>
      </c>
      <c r="G26" s="16">
        <v>1.625</v>
      </c>
      <c r="H26" s="17">
        <v>1.3333333333333333</v>
      </c>
      <c r="I26" s="16">
        <v>1.6818181818181819</v>
      </c>
    </row>
    <row r="27" spans="5:9" x14ac:dyDescent="0.45">
      <c r="E27" s="6" t="s">
        <v>197</v>
      </c>
      <c r="F27" s="17">
        <v>4.125</v>
      </c>
      <c r="G27" s="16">
        <v>3.625</v>
      </c>
      <c r="H27" s="16">
        <v>3.8333333333333335</v>
      </c>
      <c r="I27" s="16">
        <v>3.8636363636363638</v>
      </c>
    </row>
    <row r="28" spans="5:9" x14ac:dyDescent="0.45">
      <c r="E28" s="6" t="s">
        <v>198</v>
      </c>
      <c r="F28" s="17">
        <v>3.375</v>
      </c>
      <c r="G28" s="16">
        <v>4.25</v>
      </c>
      <c r="H28" s="16">
        <v>4</v>
      </c>
      <c r="I28" s="16">
        <v>3.8636363636363638</v>
      </c>
    </row>
    <row r="29" spans="5:9" x14ac:dyDescent="0.45">
      <c r="E29" s="6" t="s">
        <v>199</v>
      </c>
      <c r="F29" s="16">
        <v>3.5</v>
      </c>
      <c r="G29" s="16">
        <v>3.125</v>
      </c>
      <c r="H29" s="17">
        <v>4</v>
      </c>
      <c r="I29" s="16">
        <v>3.5</v>
      </c>
    </row>
    <row r="30" spans="5:9" x14ac:dyDescent="0.45">
      <c r="E30" s="6" t="s">
        <v>200</v>
      </c>
      <c r="F30" s="17">
        <v>4.875</v>
      </c>
      <c r="G30" s="16">
        <v>4.5</v>
      </c>
      <c r="H30" s="16">
        <v>3.6666666666666665</v>
      </c>
      <c r="I30" s="16">
        <v>4.4090909090909092</v>
      </c>
    </row>
    <row r="31" spans="5:9" x14ac:dyDescent="0.45">
      <c r="E31" s="6" t="s">
        <v>201</v>
      </c>
      <c r="F31" s="17">
        <v>4.375</v>
      </c>
      <c r="G31" s="16">
        <v>3.5</v>
      </c>
      <c r="H31" s="16">
        <v>4.333333333333333</v>
      </c>
      <c r="I31" s="16">
        <v>4.0454545454545459</v>
      </c>
    </row>
    <row r="33" spans="6:15" x14ac:dyDescent="0.45">
      <c r="F33">
        <v>3.125</v>
      </c>
      <c r="G33">
        <v>3.875</v>
      </c>
      <c r="H33">
        <v>2.125</v>
      </c>
      <c r="I33">
        <v>3.5</v>
      </c>
      <c r="J33">
        <v>2</v>
      </c>
      <c r="K33">
        <v>4.125</v>
      </c>
      <c r="L33">
        <v>3.375</v>
      </c>
      <c r="M33">
        <v>3.5</v>
      </c>
      <c r="N33">
        <v>4.875</v>
      </c>
      <c r="O33">
        <v>4.375</v>
      </c>
    </row>
    <row r="34" spans="6:15" x14ac:dyDescent="0.45">
      <c r="F34">
        <v>3.375</v>
      </c>
      <c r="G34">
        <v>4</v>
      </c>
      <c r="H34">
        <v>2.875</v>
      </c>
      <c r="I34">
        <v>3.75</v>
      </c>
      <c r="J34">
        <v>1.625</v>
      </c>
      <c r="K34">
        <v>3.625</v>
      </c>
      <c r="L34">
        <v>4.25</v>
      </c>
      <c r="M34">
        <v>3.125</v>
      </c>
      <c r="N34">
        <v>4.5</v>
      </c>
      <c r="O34">
        <v>3.5</v>
      </c>
    </row>
    <row r="35" spans="6:15" x14ac:dyDescent="0.45">
      <c r="F35">
        <v>3.1666666666666665</v>
      </c>
      <c r="G35">
        <v>4.5</v>
      </c>
      <c r="H35">
        <v>3.3333333333333335</v>
      </c>
      <c r="I35">
        <v>3.6666666666666665</v>
      </c>
      <c r="J35">
        <v>1.3333333333333333</v>
      </c>
      <c r="K35">
        <v>3.8333333333333335</v>
      </c>
      <c r="L35">
        <v>4</v>
      </c>
      <c r="M35">
        <v>4</v>
      </c>
      <c r="N35">
        <v>3.6666666666666665</v>
      </c>
      <c r="O35">
        <v>4.333333333333333</v>
      </c>
    </row>
    <row r="36" spans="6:15" x14ac:dyDescent="0.45">
      <c r="F36" s="2">
        <v>3.2272727272727271</v>
      </c>
      <c r="G36" s="2">
        <v>4.0909090909090908</v>
      </c>
      <c r="H36" s="2">
        <v>2.7272727272727271</v>
      </c>
      <c r="I36" s="2">
        <v>3.6363636363636362</v>
      </c>
      <c r="J36" s="2">
        <v>1.6818181818181819</v>
      </c>
      <c r="K36" s="2">
        <v>3.8636363636363638</v>
      </c>
      <c r="L36" s="2">
        <v>3.8636363636363638</v>
      </c>
      <c r="M36" s="2">
        <v>3.5</v>
      </c>
      <c r="N36" s="2">
        <v>4.4090909090909092</v>
      </c>
      <c r="O36" s="2">
        <v>4.0454545454545459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simplified_evaluation</vt:lpstr>
      <vt:lpstr>Foglio1</vt:lpstr>
      <vt:lpstr>Foglio2</vt:lpstr>
      <vt:lpstr>Foglio3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Andrea Giachetti</cp:lastModifiedBy>
  <dcterms:created xsi:type="dcterms:W3CDTF">2026-06-01T12:22:57Z</dcterms:created>
  <dcterms:modified xsi:type="dcterms:W3CDTF">2026-06-21T05:35:01Z</dcterms:modified>
</cp:coreProperties>
</file>